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hidePivotFieldList="1"/>
  <xr:revisionPtr revIDLastSave="0" documentId="8_{59273474-9106-4461-9ED6-B56F29075E4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INANCE" sheetId="1" r:id="rId1"/>
  </sheets>
  <calcPr calcId="191028"/>
  <pivotCaches>
    <pivotCache cacheId="572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" l="1"/>
  <c r="L13" i="1"/>
  <c r="L20" i="1"/>
  <c r="L19" i="1"/>
  <c r="L18" i="1"/>
  <c r="L17" i="1"/>
  <c r="L16" i="1"/>
  <c r="I16" i="1"/>
  <c r="I15" i="1"/>
  <c r="I14" i="1"/>
  <c r="I11" i="1"/>
  <c r="I10" i="1"/>
  <c r="I9" i="1"/>
  <c r="I8" i="1"/>
  <c r="I7" i="1"/>
  <c r="I6" i="1"/>
  <c r="L25" i="1"/>
  <c r="I22" i="1"/>
  <c r="F22" i="1"/>
  <c r="F21" i="1"/>
  <c r="F20" i="1"/>
  <c r="I23" i="1" s="1"/>
  <c r="F19" i="1"/>
  <c r="F18" i="1"/>
  <c r="F17" i="1"/>
  <c r="F16" i="1"/>
  <c r="F15" i="1"/>
  <c r="F14" i="1"/>
  <c r="F13" i="1"/>
  <c r="I21" i="1" s="1"/>
  <c r="F12" i="1"/>
  <c r="F11" i="1"/>
  <c r="F10" i="1"/>
  <c r="I20" i="1" s="1"/>
  <c r="F9" i="1"/>
  <c r="L8" i="1"/>
  <c r="F8" i="1"/>
  <c r="L7" i="1"/>
  <c r="F7" i="1"/>
  <c r="L6" i="1"/>
  <c r="F6" i="1"/>
  <c r="L24" i="1" s="1"/>
  <c r="F5" i="1"/>
</calcChain>
</file>

<file path=xl/sharedStrings.xml><?xml version="1.0" encoding="utf-8"?>
<sst xmlns="http://schemas.openxmlformats.org/spreadsheetml/2006/main" count="71" uniqueCount="52">
  <si>
    <t>Category</t>
  </si>
  <si>
    <t>Expenses</t>
  </si>
  <si>
    <t>Profit</t>
  </si>
  <si>
    <t xml:space="preserve">Budget </t>
  </si>
  <si>
    <t>Actual (Revenue)</t>
  </si>
  <si>
    <t>Variance (Actual vs Budget)</t>
  </si>
  <si>
    <t>Marketng</t>
  </si>
  <si>
    <t>Mathematical Functions</t>
  </si>
  <si>
    <t>Date Functions</t>
  </si>
  <si>
    <t>Salaries</t>
  </si>
  <si>
    <t xml:space="preserve">Total sales amount = </t>
  </si>
  <si>
    <t>Today =</t>
  </si>
  <si>
    <t>Rent</t>
  </si>
  <si>
    <t>Minimum sales  =</t>
  </si>
  <si>
    <t>Now =</t>
  </si>
  <si>
    <t>Operations</t>
  </si>
  <si>
    <t>Maximum sales =</t>
  </si>
  <si>
    <t>DateDif (of start to end sales)=</t>
  </si>
  <si>
    <t>Utilities</t>
  </si>
  <si>
    <t>Count of sales =</t>
  </si>
  <si>
    <t xml:space="preserve">Total profit = </t>
  </si>
  <si>
    <t>Average sales =</t>
  </si>
  <si>
    <t>Financial Functions</t>
  </si>
  <si>
    <t>PMT</t>
  </si>
  <si>
    <t>Logical Functions</t>
  </si>
  <si>
    <t>NPV</t>
  </si>
  <si>
    <t xml:space="preserve">If( max sales ) = </t>
  </si>
  <si>
    <t>And (true or false) =</t>
  </si>
  <si>
    <t>Statistical Functions</t>
  </si>
  <si>
    <t>Or (true or false) =</t>
  </si>
  <si>
    <t>Mean sales =</t>
  </si>
  <si>
    <t>Mode( in profit ) =</t>
  </si>
  <si>
    <t>Median of sales =</t>
  </si>
  <si>
    <t>Text Functions</t>
  </si>
  <si>
    <t>Standard Deviation( sales ) =</t>
  </si>
  <si>
    <t>Left(3,d8) =</t>
  </si>
  <si>
    <t>Correlation between sales and profit=</t>
  </si>
  <si>
    <t>Right(4,d11) =</t>
  </si>
  <si>
    <t>Mid(2,3,c9) =</t>
  </si>
  <si>
    <t>Concat(c18+d18) =</t>
  </si>
  <si>
    <t>Lookup Functions</t>
  </si>
  <si>
    <t>Vlookup</t>
  </si>
  <si>
    <t>PIVOT TABLE</t>
  </si>
  <si>
    <t>Hlookup</t>
  </si>
  <si>
    <t>Sum of Expenses</t>
  </si>
  <si>
    <t>Sum of Profit</t>
  </si>
  <si>
    <t xml:space="preserve">Sum of Budget </t>
  </si>
  <si>
    <t>Sum of Actual (Revenue)</t>
  </si>
  <si>
    <t>Sum of Variance (Actual vs Budget)</t>
  </si>
  <si>
    <t>Xlookup</t>
  </si>
  <si>
    <t>Grand Total</t>
  </si>
  <si>
    <t>PIVOT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</si>
</sst>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rgb="FF7F7F7F"/>
      <name val="Calibri"/>
      <scheme val="minor"/>
    </font>
    <font>
      <sz val="22"/>
      <color theme="1"/>
      <name val="Algerian"/>
      <family val="5"/>
    </font>
    <font>
      <i/>
      <sz val="11"/>
      <color rgb="FF7F7F7F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Agency FB"/>
      <family val="2"/>
    </font>
    <font>
      <i/>
      <sz val="11"/>
      <color theme="1"/>
      <name val="Aptos Narrow"/>
      <scheme val="minor"/>
    </font>
    <font>
      <sz val="11"/>
      <color theme="1"/>
      <name val="Aptos Narrow"/>
      <scheme val="minor"/>
    </font>
    <font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theme="1"/>
      </left>
      <right style="thin">
        <color theme="9"/>
      </right>
      <top style="medium">
        <color theme="1"/>
      </top>
      <bottom style="medium">
        <color theme="1"/>
      </bottom>
      <diagonal/>
    </border>
    <border>
      <left style="thin">
        <color theme="9"/>
      </left>
      <right style="thin">
        <color theme="9"/>
      </right>
      <top style="medium">
        <color theme="1"/>
      </top>
      <bottom style="medium">
        <color theme="1"/>
      </bottom>
      <diagonal/>
    </border>
    <border>
      <left style="thin">
        <color theme="9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9"/>
      </left>
      <right style="thin">
        <color theme="9"/>
      </right>
      <top/>
      <bottom style="medium">
        <color theme="1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thin">
        <color theme="9"/>
      </right>
      <top style="medium">
        <color theme="1"/>
      </top>
      <bottom style="medium">
        <color theme="1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medium">
        <color theme="1"/>
      </left>
      <right style="thin">
        <color theme="9"/>
      </right>
      <top style="thin">
        <color theme="9" tint="0.39997558519241921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 tint="0.39997558519241921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3" fillId="0" borderId="0" xfId="0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2" borderId="2" xfId="2" applyFont="1" applyFill="1" applyBorder="1"/>
    <xf numFmtId="0" fontId="8" fillId="3" borderId="5" xfId="2" applyFont="1" applyFill="1" applyBorder="1"/>
    <xf numFmtId="0" fontId="8" fillId="3" borderId="6" xfId="2" applyFont="1" applyFill="1" applyBorder="1"/>
    <xf numFmtId="0" fontId="8" fillId="3" borderId="6" xfId="2" applyNumberFormat="1" applyFont="1" applyFill="1" applyBorder="1"/>
    <xf numFmtId="2" fontId="8" fillId="3" borderId="5" xfId="1" applyNumberFormat="1" applyFont="1" applyFill="1" applyBorder="1"/>
    <xf numFmtId="0" fontId="8" fillId="3" borderId="9" xfId="2" applyNumberFormat="1" applyFont="1" applyFill="1" applyBorder="1"/>
    <xf numFmtId="0" fontId="8" fillId="3" borderId="12" xfId="2" applyNumberFormat="1" applyFont="1" applyFill="1" applyBorder="1"/>
    <xf numFmtId="0" fontId="8" fillId="3" borderId="12" xfId="2" applyFont="1" applyFill="1" applyBorder="1"/>
    <xf numFmtId="0" fontId="8" fillId="3" borderId="13" xfId="2" applyFont="1" applyFill="1" applyBorder="1"/>
    <xf numFmtId="0" fontId="8" fillId="3" borderId="10" xfId="2" applyFont="1" applyFill="1" applyBorder="1"/>
    <xf numFmtId="0" fontId="8" fillId="3" borderId="11" xfId="2" applyFont="1" applyFill="1" applyBorder="1"/>
    <xf numFmtId="0" fontId="4" fillId="3" borderId="10" xfId="2" applyFont="1" applyFill="1" applyBorder="1"/>
    <xf numFmtId="0" fontId="4" fillId="3" borderId="11" xfId="2" applyFont="1" applyFill="1" applyBorder="1"/>
    <xf numFmtId="0" fontId="9" fillId="0" borderId="1" xfId="2" applyFont="1" applyBorder="1" applyAlignment="1">
      <alignment horizontal="center"/>
    </xf>
    <xf numFmtId="0" fontId="9" fillId="0" borderId="2" xfId="2" applyFont="1" applyBorder="1" applyAlignment="1">
      <alignment horizontal="center"/>
    </xf>
    <xf numFmtId="0" fontId="9" fillId="0" borderId="2" xfId="2" applyNumberFormat="1" applyFont="1" applyBorder="1" applyAlignment="1">
      <alignment horizontal="center"/>
    </xf>
    <xf numFmtId="0" fontId="9" fillId="0" borderId="3" xfId="2" applyFont="1" applyBorder="1" applyAlignment="1">
      <alignment horizontal="center"/>
    </xf>
    <xf numFmtId="2" fontId="9" fillId="0" borderId="4" xfId="2" applyNumberFormat="1" applyFont="1" applyBorder="1" applyAlignment="1">
      <alignment horizontal="center"/>
    </xf>
    <xf numFmtId="0" fontId="7" fillId="3" borderId="11" xfId="2" applyFont="1" applyFill="1" applyBorder="1"/>
    <xf numFmtId="0" fontId="10" fillId="2" borderId="7" xfId="2" applyFont="1" applyFill="1" applyBorder="1" applyAlignment="1">
      <alignment horizontal="center"/>
    </xf>
    <xf numFmtId="0" fontId="10" fillId="2" borderId="8" xfId="2" applyFont="1" applyFill="1" applyBorder="1" applyAlignment="1">
      <alignment horizontal="center"/>
    </xf>
    <xf numFmtId="0" fontId="10" fillId="2" borderId="1" xfId="2" applyFont="1" applyFill="1" applyBorder="1"/>
    <xf numFmtId="8" fontId="8" fillId="3" borderId="11" xfId="2" applyNumberFormat="1" applyFont="1" applyFill="1" applyBorder="1"/>
    <xf numFmtId="10" fontId="8" fillId="3" borderId="11" xfId="2" applyNumberFormat="1" applyFont="1" applyFill="1" applyBorder="1"/>
    <xf numFmtId="0" fontId="0" fillId="0" borderId="0" xfId="0" pivotButton="1"/>
    <xf numFmtId="0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</cellXfs>
  <cellStyles count="3">
    <cellStyle name="Explanatory Text" xfId="2" builtinId="53"/>
    <cellStyle name="Normal" xfId="0" builtinId="0"/>
    <cellStyle name="Percent" xfId="1" builtinId="5"/>
  </cellStyles>
  <dxfs count="11">
    <dxf>
      <font>
        <i val="0"/>
        <color theme="1"/>
        <name val="Aptos Narrow"/>
        <scheme val="minor"/>
      </font>
      <numFmt numFmtId="2" formatCode="0.00"/>
      <fill>
        <patternFill patternType="solid">
          <fgColor indexed="64"/>
          <bgColor theme="0"/>
        </patternFill>
      </fill>
    </dxf>
    <dxf>
      <font>
        <i val="0"/>
        <color theme="1"/>
        <name val="Aptos Narrow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theme="9"/>
        </left>
        <right style="thin">
          <color theme="9"/>
        </right>
        <top/>
        <bottom style="thin">
          <color theme="9"/>
        </bottom>
      </border>
    </dxf>
    <dxf>
      <font>
        <i val="0"/>
        <color theme="1"/>
        <name val="Aptos Narrow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i val="0"/>
        <color theme="1"/>
        <name val="Aptos Narrow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i val="0"/>
        <color theme="1"/>
        <name val="Aptos Narrow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font>
        <i val="0"/>
        <color theme="1"/>
        <name val="Aptos Narrow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>
        <top style="thin">
          <color theme="9"/>
        </top>
      </border>
    </dxf>
    <dxf>
      <border>
        <bottom style="medium">
          <color theme="1"/>
        </bottom>
      </border>
    </dxf>
    <dxf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font>
        <i val="0"/>
        <color theme="1"/>
        <name val="Aptos Narrow"/>
        <scheme val="minor"/>
      </font>
      <fill>
        <patternFill patternType="solid">
          <fgColor indexed="64"/>
          <bgColor theme="0"/>
        </patternFill>
      </fill>
    </dxf>
    <dxf>
      <font>
        <i val="0"/>
        <strike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[MapAssignment.3.xlsx]FINANCE!PivotTable1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FINANCE!$B$26</c:f>
              <c:strCache>
                <c:ptCount val="1"/>
                <c:pt idx="0">
                  <c:v>Sum of Expenses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FINANCE!$A$27:$A$32</c:f>
              <c:strCache>
                <c:ptCount val="5"/>
                <c:pt idx="0">
                  <c:v>Marketng</c:v>
                </c:pt>
                <c:pt idx="1">
                  <c:v>Operations</c:v>
                </c:pt>
                <c:pt idx="2">
                  <c:v>Rent</c:v>
                </c:pt>
                <c:pt idx="3">
                  <c:v>Salaries</c:v>
                </c:pt>
                <c:pt idx="4">
                  <c:v>Utilities</c:v>
                </c:pt>
              </c:strCache>
            </c:strRef>
          </c:cat>
          <c:val>
            <c:numRef>
              <c:f>FINANCE!$B$27:$B$32</c:f>
              <c:numCache>
                <c:formatCode>General</c:formatCode>
                <c:ptCount val="5"/>
                <c:pt idx="0">
                  <c:v>1860000</c:v>
                </c:pt>
                <c:pt idx="1">
                  <c:v>1280000</c:v>
                </c:pt>
                <c:pt idx="2">
                  <c:v>2005000</c:v>
                </c:pt>
                <c:pt idx="3">
                  <c:v>2120000</c:v>
                </c:pt>
                <c:pt idx="4">
                  <c:v>1540000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35-44E6-86BE-708611855207}"/>
            </c:ext>
          </c:extLst>
        </c:ser>
        <c:ser>
          <c:idx val="1"/>
          <c:order val="1"/>
          <c:tx>
            <c:strRef>
              <c:f>FINANCE!$C$26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FINANCE!$A$27:$A$32</c:f>
              <c:strCache>
                <c:ptCount val="5"/>
                <c:pt idx="0">
                  <c:v>Marketng</c:v>
                </c:pt>
                <c:pt idx="1">
                  <c:v>Operations</c:v>
                </c:pt>
                <c:pt idx="2">
                  <c:v>Rent</c:v>
                </c:pt>
                <c:pt idx="3">
                  <c:v>Salaries</c:v>
                </c:pt>
                <c:pt idx="4">
                  <c:v>Utilities</c:v>
                </c:pt>
              </c:strCache>
            </c:strRef>
          </c:cat>
          <c:val>
            <c:numRef>
              <c:f>FINANCE!$C$27:$C$32</c:f>
              <c:numCache>
                <c:formatCode>General</c:formatCode>
                <c:ptCount val="5"/>
                <c:pt idx="0">
                  <c:v>590000</c:v>
                </c:pt>
                <c:pt idx="1">
                  <c:v>360000</c:v>
                </c:pt>
                <c:pt idx="2">
                  <c:v>645000</c:v>
                </c:pt>
                <c:pt idx="3">
                  <c:v>660000</c:v>
                </c:pt>
                <c:pt idx="4">
                  <c:v>480000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35-44E6-86BE-708611855207}"/>
            </c:ext>
          </c:extLst>
        </c:ser>
        <c:ser>
          <c:idx val="2"/>
          <c:order val="2"/>
          <c:tx>
            <c:strRef>
              <c:f>FINANCE!$D$26</c:f>
              <c:strCache>
                <c:ptCount val="1"/>
                <c:pt idx="0">
                  <c:v>Sum of Budget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FINANCE!$A$27:$A$32</c:f>
              <c:strCache>
                <c:ptCount val="5"/>
                <c:pt idx="0">
                  <c:v>Marketng</c:v>
                </c:pt>
                <c:pt idx="1">
                  <c:v>Operations</c:v>
                </c:pt>
                <c:pt idx="2">
                  <c:v>Rent</c:v>
                </c:pt>
                <c:pt idx="3">
                  <c:v>Salaries</c:v>
                </c:pt>
                <c:pt idx="4">
                  <c:v>Utilities</c:v>
                </c:pt>
              </c:strCache>
            </c:strRef>
          </c:cat>
          <c:val>
            <c:numRef>
              <c:f>FINANCE!$D$27:$D$32</c:f>
              <c:numCache>
                <c:formatCode>General</c:formatCode>
                <c:ptCount val="5"/>
                <c:pt idx="0">
                  <c:v>2360000</c:v>
                </c:pt>
                <c:pt idx="1">
                  <c:v>1650000</c:v>
                </c:pt>
                <c:pt idx="2">
                  <c:v>2510000</c:v>
                </c:pt>
                <c:pt idx="3">
                  <c:v>2685000</c:v>
                </c:pt>
                <c:pt idx="4">
                  <c:v>1920000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35-44E6-86BE-708611855207}"/>
            </c:ext>
          </c:extLst>
        </c:ser>
        <c:ser>
          <c:idx val="3"/>
          <c:order val="3"/>
          <c:tx>
            <c:strRef>
              <c:f>FINANCE!$E$26</c:f>
              <c:strCache>
                <c:ptCount val="1"/>
                <c:pt idx="0">
                  <c:v>Sum of Actual (Revenue)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FINANCE!$A$27:$A$32</c:f>
              <c:strCache>
                <c:ptCount val="5"/>
                <c:pt idx="0">
                  <c:v>Marketng</c:v>
                </c:pt>
                <c:pt idx="1">
                  <c:v>Operations</c:v>
                </c:pt>
                <c:pt idx="2">
                  <c:v>Rent</c:v>
                </c:pt>
                <c:pt idx="3">
                  <c:v>Salaries</c:v>
                </c:pt>
                <c:pt idx="4">
                  <c:v>Utilities</c:v>
                </c:pt>
              </c:strCache>
            </c:strRef>
          </c:cat>
          <c:val>
            <c:numRef>
              <c:f>FINANCE!$E$27:$E$32</c:f>
              <c:numCache>
                <c:formatCode>General</c:formatCode>
                <c:ptCount val="5"/>
                <c:pt idx="0">
                  <c:v>2450000</c:v>
                </c:pt>
                <c:pt idx="1">
                  <c:v>1640000</c:v>
                </c:pt>
                <c:pt idx="2">
                  <c:v>2650000</c:v>
                </c:pt>
                <c:pt idx="3">
                  <c:v>2780000</c:v>
                </c:pt>
                <c:pt idx="4">
                  <c:v>2020000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735-44E6-86BE-708611855207}"/>
            </c:ext>
          </c:extLst>
        </c:ser>
        <c:ser>
          <c:idx val="4"/>
          <c:order val="4"/>
          <c:tx>
            <c:strRef>
              <c:f>FINANCE!$F$26</c:f>
              <c:strCache>
                <c:ptCount val="1"/>
                <c:pt idx="0">
                  <c:v>Sum of Variance (Actual vs Budget)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FINANCE!$A$27:$A$32</c:f>
              <c:strCache>
                <c:ptCount val="5"/>
                <c:pt idx="0">
                  <c:v>Marketng</c:v>
                </c:pt>
                <c:pt idx="1">
                  <c:v>Operations</c:v>
                </c:pt>
                <c:pt idx="2">
                  <c:v>Rent</c:v>
                </c:pt>
                <c:pt idx="3">
                  <c:v>Salaries</c:v>
                </c:pt>
                <c:pt idx="4">
                  <c:v>Utilities</c:v>
                </c:pt>
              </c:strCache>
            </c:strRef>
          </c:cat>
          <c:val>
            <c:numRef>
              <c:f>FINANCE!$F$27:$F$32</c:f>
              <c:numCache>
                <c:formatCode>0.00</c:formatCode>
                <c:ptCount val="5"/>
                <c:pt idx="0">
                  <c:v>0.13546703296703297</c:v>
                </c:pt>
                <c:pt idx="1">
                  <c:v>-2.4737099535338716E-2</c:v>
                </c:pt>
                <c:pt idx="2">
                  <c:v>0.22850688926638291</c:v>
                </c:pt>
                <c:pt idx="3">
                  <c:v>0.12001283740414175</c:v>
                </c:pt>
                <c:pt idx="4">
                  <c:v>0.15533498759305212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35-44E6-86BE-708611855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171450</xdr:rowOff>
    </xdr:from>
    <xdr:to>
      <xdr:col>5</xdr:col>
      <xdr:colOff>2390775</xdr:colOff>
      <xdr:row>2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ABFCA53-5F22-81A1-A09A-1DFF98B8F3AF}"/>
            </a:ext>
          </a:extLst>
        </xdr:cNvPr>
        <xdr:cNvSpPr txBox="1"/>
      </xdr:nvSpPr>
      <xdr:spPr>
        <a:xfrm>
          <a:off x="0" y="171450"/>
          <a:ext cx="1163002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4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FINANCE ANALYSIS</a:t>
          </a:r>
        </a:p>
      </xdr:txBody>
    </xdr:sp>
    <xdr:clientData/>
  </xdr:twoCellAnchor>
  <xdr:twoCellAnchor>
    <xdr:from>
      <xdr:col>7</xdr:col>
      <xdr:colOff>0</xdr:colOff>
      <xdr:row>0</xdr:row>
      <xdr:rowOff>171450</xdr:rowOff>
    </xdr:from>
    <xdr:to>
      <xdr:col>12</xdr:col>
      <xdr:colOff>9525</xdr:colOff>
      <xdr:row>2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E974E14-10BC-417F-9E33-F618291CB861}"/>
            </a:ext>
            <a:ext uri="{147F2762-F138-4A5C-976F-8EAC2B608ADB}">
              <a16:predDERef xmlns:a16="http://schemas.microsoft.com/office/drawing/2014/main" pred="{9ABFCA53-5F22-81A1-A09A-1DFF98B8F3AF}"/>
            </a:ext>
          </a:extLst>
        </xdr:cNvPr>
        <xdr:cNvSpPr txBox="1"/>
      </xdr:nvSpPr>
      <xdr:spPr>
        <a:xfrm>
          <a:off x="12277725" y="171450"/>
          <a:ext cx="8801100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EXCEL FUNCTIONS</a:t>
          </a:r>
        </a:p>
      </xdr:txBody>
    </xdr:sp>
    <xdr:clientData/>
  </xdr:twoCellAnchor>
  <xdr:twoCellAnchor>
    <xdr:from>
      <xdr:col>1</xdr:col>
      <xdr:colOff>19050</xdr:colOff>
      <xdr:row>34</xdr:row>
      <xdr:rowOff>9525</xdr:rowOff>
    </xdr:from>
    <xdr:to>
      <xdr:col>5</xdr:col>
      <xdr:colOff>285750</xdr:colOff>
      <xdr:row>48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0DE754-3FA1-327B-35DA-C563D462BC69}"/>
            </a:ext>
            <a:ext uri="{147F2762-F138-4A5C-976F-8EAC2B608ADB}">
              <a16:predDERef xmlns:a16="http://schemas.microsoft.com/office/drawing/2014/main" pred="{FE974E14-10BC-417F-9E33-F618291CB8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6.846472685182" createdVersion="8" refreshedVersion="8" minRefreshableVersion="3" recordCount="18" xr:uid="{D1A57D7B-0EF7-4FBF-9D61-66616E468CB0}">
  <cacheSource type="worksheet">
    <worksheetSource name="Table13"/>
  </cacheSource>
  <cacheFields count="6">
    <cacheField name="Category" numFmtId="0">
      <sharedItems count="5">
        <s v="Marketng"/>
        <s v="Salaries"/>
        <s v="Rent"/>
        <s v="Operations"/>
        <s v="Utilities"/>
      </sharedItems>
    </cacheField>
    <cacheField name="Expenses" numFmtId="0">
      <sharedItems containsSemiMixedTypes="0" containsString="0" containsNumber="1" containsInteger="1" minValue="360000" maxValue="610000"/>
    </cacheField>
    <cacheField name="Profit" numFmtId="0">
      <sharedItems containsSemiMixedTypes="0" containsString="0" containsNumber="1" containsInteger="1" minValue="90000" maxValue="220000"/>
    </cacheField>
    <cacheField name="Budget " numFmtId="0">
      <sharedItems containsSemiMixedTypes="0" containsString="0" containsNumber="1" containsInteger="1" minValue="470000" maxValue="790000"/>
    </cacheField>
    <cacheField name="Actual (Revenue)" numFmtId="0">
      <sharedItems containsSemiMixedTypes="0" containsString="0" containsNumber="1" containsInteger="1" minValue="450000" maxValue="830000"/>
    </cacheField>
    <cacheField name="Variance (Actual vs Budget)" numFmtId="2">
      <sharedItems containsSemiMixedTypes="0" containsString="0" containsNumber="1" minValue="-4.2553191489361701E-2" maxValue="0.109090909090909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n v="410000"/>
    <n v="110000"/>
    <n v="500000"/>
    <n v="520000"/>
    <n v="0.04"/>
  </r>
  <r>
    <x v="1"/>
    <n v="390000"/>
    <n v="90000"/>
    <n v="495000"/>
    <n v="480000"/>
    <n v="-3.0303030303030304E-2"/>
  </r>
  <r>
    <x v="2"/>
    <n v="455000"/>
    <n v="155000"/>
    <n v="550000"/>
    <n v="610000"/>
    <n v="0.10909090909090909"/>
  </r>
  <r>
    <x v="3"/>
    <n v="360000"/>
    <n v="90000"/>
    <n v="470000"/>
    <n v="450000"/>
    <n v="-4.2553191489361701E-2"/>
  </r>
  <r>
    <x v="4"/>
    <n v="520000"/>
    <n v="180000"/>
    <n v="650000"/>
    <n v="700000"/>
    <n v="7.6923076923076927E-2"/>
  </r>
  <r>
    <x v="0"/>
    <n v="500000"/>
    <n v="180000"/>
    <n v="640000"/>
    <n v="680000"/>
    <n v="6.25E-2"/>
  </r>
  <r>
    <x v="1"/>
    <n v="540000"/>
    <n v="180000"/>
    <n v="690000"/>
    <n v="720000"/>
    <n v="4.3478260869565216E-2"/>
  </r>
  <r>
    <x v="2"/>
    <n v="510000"/>
    <n v="140000"/>
    <n v="630000"/>
    <n v="650000"/>
    <n v="3.1746031746031744E-2"/>
  </r>
  <r>
    <x v="3"/>
    <n v="470000"/>
    <n v="120000"/>
    <n v="600000"/>
    <n v="590000"/>
    <n v="-1.6666666666666666E-2"/>
  </r>
  <r>
    <x v="4"/>
    <n v="500000"/>
    <n v="140000"/>
    <n v="620000"/>
    <n v="640000"/>
    <n v="3.2258064516129031E-2"/>
  </r>
  <r>
    <x v="0"/>
    <n v="560000"/>
    <n v="190000"/>
    <n v="700000"/>
    <n v="750000"/>
    <n v="7.1428571428571425E-2"/>
  </r>
  <r>
    <x v="1"/>
    <n v="610000"/>
    <n v="210000"/>
    <n v="780000"/>
    <n v="820000"/>
    <n v="5.128205128205128E-2"/>
  </r>
  <r>
    <x v="2"/>
    <n v="430000"/>
    <n v="130000"/>
    <n v="540000"/>
    <n v="560000"/>
    <n v="3.7037037037037035E-2"/>
  </r>
  <r>
    <x v="3"/>
    <n v="450000"/>
    <n v="150000"/>
    <n v="580000"/>
    <n v="600000"/>
    <n v="3.4482758620689655E-2"/>
  </r>
  <r>
    <x v="4"/>
    <n v="520000"/>
    <n v="160000"/>
    <n v="650000"/>
    <n v="680000"/>
    <n v="4.6153846153846156E-2"/>
  </r>
  <r>
    <x v="0"/>
    <n v="390000"/>
    <n v="110000"/>
    <n v="520000"/>
    <n v="500000"/>
    <n v="-3.8461538461538464E-2"/>
  </r>
  <r>
    <x v="1"/>
    <n v="580000"/>
    <n v="180000"/>
    <n v="720000"/>
    <n v="760000"/>
    <n v="5.5555555555555552E-2"/>
  </r>
  <r>
    <x v="2"/>
    <n v="610000"/>
    <n v="220000"/>
    <n v="790000"/>
    <n v="830000"/>
    <n v="5.0632911392405063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9CD8AB-6833-4AB2-AB05-3C277C78BFA8}" name="PivotTable1" cacheId="57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6:F32" firstHeaderRow="0" firstDataRow="1" firstDataCol="1"/>
  <pivotFields count="6">
    <pivotField axis="axisRow" compact="0" outline="0" showAll="0">
      <items count="6">
        <item x="0"/>
        <item x="3"/>
        <item x="2"/>
        <item x="1"/>
        <item x="4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numFmtId="2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Expenses" fld="1" baseField="0" baseItem="0"/>
    <dataField name="Sum of Profit" fld="2" baseField="0" baseItem="0"/>
    <dataField name="Sum of Budget " fld="3" baseField="0" baseItem="0"/>
    <dataField name="Sum of Actual (Revenue)" fld="4" baseField="0" baseItem="0"/>
    <dataField name="Sum of Variance (Actual vs Budget)" fld="5" baseField="0" baseItem="0" numFmtId="2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9E5F2D-555C-47F1-B92A-A0881585A765}" name="Table13" displayName="Table13" ref="A4:F22" totalsRowShown="0" headerRowDxfId="10" dataDxfId="9" headerRowBorderDxfId="7" tableBorderDxfId="8" totalsRowBorderDxfId="6" headerRowCellStyle="Explanatory Text" dataCellStyle="Explanatory Text">
  <autoFilter ref="A4:F22" xr:uid="{919E5F2D-555C-47F1-B92A-A0881585A765}"/>
  <tableColumns count="6">
    <tableColumn id="1" xr3:uid="{5C44FD28-0EE7-40E1-9F01-52DF6A9EDB52}" name="Category" dataDxfId="5" dataCellStyle="Explanatory Text"/>
    <tableColumn id="2" xr3:uid="{379C6194-D3EE-427E-ACE5-CFF9AC04AA99}" name="Expenses" dataDxfId="4" dataCellStyle="Explanatory Text"/>
    <tableColumn id="3" xr3:uid="{0470224E-EBB9-46EC-B1AF-3B63142AF5A6}" name="Profit" dataDxfId="3" dataCellStyle="Explanatory Text"/>
    <tableColumn id="4" xr3:uid="{521CB160-0B3A-497F-93FF-2BEBF8941D72}" name="Budget " dataDxfId="2" dataCellStyle="Explanatory Text"/>
    <tableColumn id="5" xr3:uid="{93DB2A14-9117-4072-A07D-8057B8C5CFBE}" name="Actual (Revenue)" dataDxfId="1" dataCellStyle="Explanatory Text"/>
    <tableColumn id="6" xr3:uid="{876EB9C4-D75E-40BD-A216-AAE4BAED1F80}" name="Variance (Actual vs Budget)" dataDxfId="0" dataCellStyle="Percent">
      <calculatedColumnFormula>(E5-D5)/D5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34"/>
  <sheetViews>
    <sheetView tabSelected="1" topLeftCell="A26" workbookViewId="0">
      <selection activeCell="A35" sqref="A35"/>
    </sheetView>
  </sheetViews>
  <sheetFormatPr defaultRowHeight="15"/>
  <cols>
    <col min="1" max="1" width="12" customWidth="1"/>
    <col min="2" max="2" width="15.85546875" customWidth="1"/>
    <col min="3" max="3" width="12.28515625" customWidth="1"/>
    <col min="4" max="4" width="14" customWidth="1"/>
    <col min="5" max="5" width="22.42578125" customWidth="1"/>
    <col min="6" max="6" width="31.5703125" customWidth="1"/>
    <col min="8" max="8" width="28" customWidth="1"/>
    <col min="9" max="9" width="31.7109375" customWidth="1"/>
    <col min="11" max="11" width="33.140625" customWidth="1"/>
    <col min="12" max="12" width="29.85546875" customWidth="1"/>
  </cols>
  <sheetData>
    <row r="4" spans="1:12" ht="27">
      <c r="A4" s="17" t="s">
        <v>0</v>
      </c>
      <c r="B4" s="18" t="s">
        <v>1</v>
      </c>
      <c r="C4" s="18" t="s">
        <v>2</v>
      </c>
      <c r="D4" s="19" t="s">
        <v>3</v>
      </c>
      <c r="E4" s="20" t="s">
        <v>4</v>
      </c>
      <c r="F4" s="21" t="s">
        <v>5</v>
      </c>
      <c r="G4" s="1"/>
    </row>
    <row r="5" spans="1:12">
      <c r="A5" s="5" t="s">
        <v>6</v>
      </c>
      <c r="B5" s="6">
        <v>410000</v>
      </c>
      <c r="C5" s="6">
        <v>110000</v>
      </c>
      <c r="D5" s="7">
        <v>500000</v>
      </c>
      <c r="E5" s="5">
        <v>520000</v>
      </c>
      <c r="F5" s="8">
        <f t="shared" ref="F5:F22" si="0">(E5-D5)/D5</f>
        <v>0.04</v>
      </c>
      <c r="H5" s="23" t="s">
        <v>7</v>
      </c>
      <c r="I5" s="24"/>
      <c r="K5" s="23" t="s">
        <v>8</v>
      </c>
      <c r="L5" s="24"/>
    </row>
    <row r="6" spans="1:12">
      <c r="A6" s="5" t="s">
        <v>9</v>
      </c>
      <c r="B6" s="6">
        <v>390000</v>
      </c>
      <c r="C6" s="6">
        <v>90000</v>
      </c>
      <c r="D6" s="9">
        <v>495000</v>
      </c>
      <c r="E6" s="5">
        <v>480000</v>
      </c>
      <c r="F6" s="8">
        <f t="shared" si="0"/>
        <v>-3.0303030303030304E-2</v>
      </c>
      <c r="H6" s="13" t="s">
        <v>10</v>
      </c>
      <c r="I6" s="22">
        <f>SUM(B5:B22)</f>
        <v>8805000</v>
      </c>
      <c r="K6" s="13" t="s">
        <v>11</v>
      </c>
      <c r="L6" s="14">
        <f ca="1">TODAY()</f>
        <v>46076</v>
      </c>
    </row>
    <row r="7" spans="1:12">
      <c r="A7" s="5" t="s">
        <v>12</v>
      </c>
      <c r="B7" s="6">
        <v>455000</v>
      </c>
      <c r="C7" s="6">
        <v>155000</v>
      </c>
      <c r="D7" s="9">
        <v>550000</v>
      </c>
      <c r="E7" s="5">
        <v>610000</v>
      </c>
      <c r="F7" s="8">
        <f t="shared" si="0"/>
        <v>0.10909090909090909</v>
      </c>
      <c r="H7" s="13" t="s">
        <v>13</v>
      </c>
      <c r="I7" s="14">
        <f>MIN(B5:B22)</f>
        <v>360000</v>
      </c>
      <c r="K7" s="13" t="s">
        <v>14</v>
      </c>
      <c r="L7" s="14">
        <f ca="1">NOW()</f>
        <v>46076.847760185185</v>
      </c>
    </row>
    <row r="8" spans="1:12">
      <c r="A8" s="5" t="s">
        <v>15</v>
      </c>
      <c r="B8" s="6">
        <v>360000</v>
      </c>
      <c r="C8" s="6">
        <v>90000</v>
      </c>
      <c r="D8" s="9">
        <v>470000</v>
      </c>
      <c r="E8" s="5">
        <v>450000</v>
      </c>
      <c r="F8" s="8">
        <f t="shared" si="0"/>
        <v>-4.2553191489361701E-2</v>
      </c>
      <c r="H8" s="13" t="s">
        <v>16</v>
      </c>
      <c r="I8" s="14">
        <f>MAX(B5:B22)</f>
        <v>610000</v>
      </c>
      <c r="K8" s="13" t="s">
        <v>17</v>
      </c>
      <c r="L8" s="14">
        <f>DATEDIF(D6,D22,"D")</f>
        <v>295000</v>
      </c>
    </row>
    <row r="9" spans="1:12">
      <c r="A9" s="5" t="s">
        <v>18</v>
      </c>
      <c r="B9" s="6">
        <v>520000</v>
      </c>
      <c r="C9" s="6">
        <v>180000</v>
      </c>
      <c r="D9" s="9">
        <v>650000</v>
      </c>
      <c r="E9" s="5">
        <v>700000</v>
      </c>
      <c r="F9" s="8">
        <f t="shared" si="0"/>
        <v>7.6923076923076927E-2</v>
      </c>
      <c r="H9" s="13" t="s">
        <v>19</v>
      </c>
      <c r="I9" s="14">
        <f>COUNT(B5:B22)</f>
        <v>18</v>
      </c>
      <c r="K9" s="13"/>
      <c r="L9" s="14"/>
    </row>
    <row r="10" spans="1:12">
      <c r="A10" s="5" t="s">
        <v>6</v>
      </c>
      <c r="B10" s="6">
        <v>500000</v>
      </c>
      <c r="C10" s="6">
        <v>180000</v>
      </c>
      <c r="D10" s="9">
        <v>640000</v>
      </c>
      <c r="E10" s="5">
        <v>680000</v>
      </c>
      <c r="F10" s="8">
        <f t="shared" si="0"/>
        <v>6.25E-2</v>
      </c>
      <c r="H10" s="13" t="s">
        <v>20</v>
      </c>
      <c r="I10" s="14">
        <f>SUM(C5:C22)</f>
        <v>2735000</v>
      </c>
    </row>
    <row r="11" spans="1:12">
      <c r="A11" s="5" t="s">
        <v>9</v>
      </c>
      <c r="B11" s="6">
        <v>540000</v>
      </c>
      <c r="C11" s="6">
        <v>180000</v>
      </c>
      <c r="D11" s="9">
        <v>690000</v>
      </c>
      <c r="E11" s="5">
        <v>720000</v>
      </c>
      <c r="F11" s="8">
        <f t="shared" si="0"/>
        <v>4.3478260869565216E-2</v>
      </c>
      <c r="H11" s="13" t="s">
        <v>21</v>
      </c>
      <c r="I11" s="14">
        <f>AVERAGE(B5:B22)</f>
        <v>489166.66666666669</v>
      </c>
      <c r="K11" s="23" t="s">
        <v>22</v>
      </c>
      <c r="L11" s="24"/>
    </row>
    <row r="12" spans="1:12" ht="19.5">
      <c r="A12" s="5" t="s">
        <v>12</v>
      </c>
      <c r="B12" s="6">
        <v>510000</v>
      </c>
      <c r="C12" s="6">
        <v>140000</v>
      </c>
      <c r="D12" s="9">
        <v>630000</v>
      </c>
      <c r="E12" s="5">
        <v>650000</v>
      </c>
      <c r="F12" s="8">
        <f t="shared" si="0"/>
        <v>3.1746031746031744E-2</v>
      </c>
      <c r="H12" s="2"/>
      <c r="K12" s="13" t="s">
        <v>23</v>
      </c>
      <c r="L12" s="26">
        <f>PMT(10%/12,60,-500000)</f>
        <v>10623.522355634139</v>
      </c>
    </row>
    <row r="13" spans="1:12">
      <c r="A13" s="5" t="s">
        <v>15</v>
      </c>
      <c r="B13" s="6">
        <v>470000</v>
      </c>
      <c r="C13" s="6">
        <v>120000</v>
      </c>
      <c r="D13" s="9">
        <v>600000</v>
      </c>
      <c r="E13" s="5">
        <v>590000</v>
      </c>
      <c r="F13" s="8">
        <f t="shared" si="0"/>
        <v>-1.6666666666666666E-2</v>
      </c>
      <c r="H13" s="23" t="s">
        <v>24</v>
      </c>
      <c r="I13" s="24"/>
      <c r="K13" s="13" t="s">
        <v>25</v>
      </c>
      <c r="L13" s="27">
        <f>NPV(10%,E5:E22)-100000</f>
        <v>4938840.1178072132</v>
      </c>
    </row>
    <row r="14" spans="1:12">
      <c r="A14" s="5" t="s">
        <v>18</v>
      </c>
      <c r="B14" s="6">
        <v>500000</v>
      </c>
      <c r="C14" s="6">
        <v>140000</v>
      </c>
      <c r="D14" s="9">
        <v>620000</v>
      </c>
      <c r="E14" s="5">
        <v>640000</v>
      </c>
      <c r="F14" s="8">
        <f t="shared" si="0"/>
        <v>3.2258064516129031E-2</v>
      </c>
      <c r="H14" s="13" t="s">
        <v>26</v>
      </c>
      <c r="I14" s="14" t="str">
        <f>IF(E5&gt;D5,"Good","Bad")</f>
        <v>Good</v>
      </c>
      <c r="K14" s="3"/>
    </row>
    <row r="15" spans="1:12">
      <c r="A15" s="5" t="s">
        <v>6</v>
      </c>
      <c r="B15" s="6">
        <v>560000</v>
      </c>
      <c r="C15" s="6">
        <v>190000</v>
      </c>
      <c r="D15" s="9">
        <v>700000</v>
      </c>
      <c r="E15" s="5">
        <v>750000</v>
      </c>
      <c r="F15" s="8">
        <f t="shared" si="0"/>
        <v>7.1428571428571425E-2</v>
      </c>
      <c r="H15" s="13" t="s">
        <v>27</v>
      </c>
      <c r="I15" s="14" t="str">
        <f>IF(AND(E5&gt;D5,C5&gt;15000),"Excellent","Average")</f>
        <v>Excellent</v>
      </c>
      <c r="K15" s="23" t="s">
        <v>28</v>
      </c>
      <c r="L15" s="24"/>
    </row>
    <row r="16" spans="1:12">
      <c r="A16" s="5" t="s">
        <v>9</v>
      </c>
      <c r="B16" s="6">
        <v>610000</v>
      </c>
      <c r="C16" s="6">
        <v>210000</v>
      </c>
      <c r="D16" s="9">
        <v>780000</v>
      </c>
      <c r="E16" s="5">
        <v>820000</v>
      </c>
      <c r="F16" s="8">
        <f t="shared" si="0"/>
        <v>5.128205128205128E-2</v>
      </c>
      <c r="H16" s="13" t="s">
        <v>29</v>
      </c>
      <c r="I16" s="14" t="str">
        <f>IF(OR(E5&gt;D5,C5&gt;15000),"Good","Check")</f>
        <v>Good</v>
      </c>
      <c r="K16" s="13" t="s">
        <v>30</v>
      </c>
      <c r="L16" s="14">
        <f>AVERAGE(C5:C22)</f>
        <v>151944.44444444444</v>
      </c>
    </row>
    <row r="17" spans="1:12">
      <c r="A17" s="5" t="s">
        <v>12</v>
      </c>
      <c r="B17" s="6">
        <v>430000</v>
      </c>
      <c r="C17" s="6">
        <v>130000</v>
      </c>
      <c r="D17" s="9">
        <v>540000</v>
      </c>
      <c r="E17" s="5">
        <v>560000</v>
      </c>
      <c r="F17" s="8">
        <f t="shared" si="0"/>
        <v>3.7037037037037035E-2</v>
      </c>
      <c r="H17" s="3"/>
      <c r="K17" s="13" t="s">
        <v>31</v>
      </c>
      <c r="L17" s="14">
        <f>MODE(E5:E22)</f>
        <v>680000</v>
      </c>
    </row>
    <row r="18" spans="1:12">
      <c r="A18" s="5" t="s">
        <v>15</v>
      </c>
      <c r="B18" s="6">
        <v>450000</v>
      </c>
      <c r="C18" s="6">
        <v>150000</v>
      </c>
      <c r="D18" s="9">
        <v>580000</v>
      </c>
      <c r="E18" s="5">
        <v>600000</v>
      </c>
      <c r="F18" s="8">
        <f t="shared" si="0"/>
        <v>3.4482758620689655E-2</v>
      </c>
      <c r="H18" s="3"/>
      <c r="K18" s="13" t="s">
        <v>32</v>
      </c>
      <c r="L18" s="14">
        <f>MEDIAN(C5:C22)</f>
        <v>152500</v>
      </c>
    </row>
    <row r="19" spans="1:12">
      <c r="A19" s="5" t="s">
        <v>18</v>
      </c>
      <c r="B19" s="6">
        <v>520000</v>
      </c>
      <c r="C19" s="6">
        <v>160000</v>
      </c>
      <c r="D19" s="9">
        <v>650000</v>
      </c>
      <c r="E19" s="5">
        <v>680000</v>
      </c>
      <c r="F19" s="8">
        <f t="shared" si="0"/>
        <v>4.6153846153846156E-2</v>
      </c>
      <c r="H19" s="25" t="s">
        <v>33</v>
      </c>
      <c r="I19" s="4"/>
      <c r="K19" s="13" t="s">
        <v>34</v>
      </c>
      <c r="L19" s="14">
        <f>_xlfn.STDEV.S(C5:C22)</f>
        <v>38848.835582856169</v>
      </c>
    </row>
    <row r="20" spans="1:12">
      <c r="A20" s="5" t="s">
        <v>6</v>
      </c>
      <c r="B20" s="6">
        <v>390000</v>
      </c>
      <c r="C20" s="6">
        <v>110000</v>
      </c>
      <c r="D20" s="9">
        <v>520000</v>
      </c>
      <c r="E20" s="5">
        <v>500000</v>
      </c>
      <c r="F20" s="8">
        <f t="shared" si="0"/>
        <v>-3.8461538461538464E-2</v>
      </c>
      <c r="H20" s="13" t="s">
        <v>35</v>
      </c>
      <c r="I20" s="14" t="str">
        <f>LEFT(F10,3)</f>
        <v>0.0</v>
      </c>
      <c r="K20" s="13" t="s">
        <v>36</v>
      </c>
      <c r="L20" s="14">
        <f>CORREL(C5:C22,E5:E22)</f>
        <v>0.97006151352579306</v>
      </c>
    </row>
    <row r="21" spans="1:12">
      <c r="A21" s="5" t="s">
        <v>9</v>
      </c>
      <c r="B21" s="6">
        <v>580000</v>
      </c>
      <c r="C21" s="6">
        <v>180000</v>
      </c>
      <c r="D21" s="10">
        <v>720000</v>
      </c>
      <c r="E21" s="5">
        <v>760000</v>
      </c>
      <c r="F21" s="8">
        <f t="shared" si="0"/>
        <v>5.5555555555555552E-2</v>
      </c>
      <c r="H21" s="13" t="s">
        <v>37</v>
      </c>
      <c r="I21" s="14" t="str">
        <f>RIGHT(F13,4)</f>
        <v>6667</v>
      </c>
      <c r="K21" s="15"/>
      <c r="L21" s="16"/>
    </row>
    <row r="22" spans="1:12">
      <c r="A22" s="5" t="s">
        <v>12</v>
      </c>
      <c r="B22" s="11">
        <v>610000</v>
      </c>
      <c r="C22" s="11">
        <v>220000</v>
      </c>
      <c r="D22" s="10">
        <v>790000</v>
      </c>
      <c r="E22" s="12">
        <v>830000</v>
      </c>
      <c r="F22" s="8">
        <f t="shared" si="0"/>
        <v>5.0632911392405063E-2</v>
      </c>
      <c r="H22" s="13" t="s">
        <v>38</v>
      </c>
      <c r="I22" s="14" t="str">
        <f>MID(E11,2,3)</f>
        <v>200</v>
      </c>
    </row>
    <row r="23" spans="1:12">
      <c r="H23" s="13" t="s">
        <v>39</v>
      </c>
      <c r="I23" s="14" t="str">
        <f>_xlfn.CONCAT(E20,"_",F20)</f>
        <v>500000_-0.0384615384615385</v>
      </c>
      <c r="K23" s="23" t="s">
        <v>40</v>
      </c>
      <c r="L23" s="24"/>
    </row>
    <row r="24" spans="1:12">
      <c r="K24" s="13" t="s">
        <v>41</v>
      </c>
      <c r="L24" s="14">
        <f>VLOOKUP(D6, D5:F22,3, FALSE)</f>
        <v>-3.0303030303030304E-2</v>
      </c>
    </row>
    <row r="25" spans="1:12">
      <c r="A25" t="s">
        <v>42</v>
      </c>
      <c r="K25" s="13" t="s">
        <v>43</v>
      </c>
      <c r="L25" s="14">
        <f>HLOOKUP(E5,D5:F22,4,FALSE)</f>
        <v>450000</v>
      </c>
    </row>
    <row r="26" spans="1:12">
      <c r="A26" s="28" t="s">
        <v>0</v>
      </c>
      <c r="B26" t="s">
        <v>44</v>
      </c>
      <c r="C26" t="s">
        <v>45</v>
      </c>
      <c r="D26" t="s">
        <v>46</v>
      </c>
      <c r="E26" t="s">
        <v>47</v>
      </c>
      <c r="F26" t="s">
        <v>48</v>
      </c>
      <c r="K26" s="13" t="s">
        <v>49</v>
      </c>
      <c r="L26" s="14"/>
    </row>
    <row r="27" spans="1:12">
      <c r="A27" t="s">
        <v>6</v>
      </c>
      <c r="B27" s="29">
        <v>1860000</v>
      </c>
      <c r="C27" s="29">
        <v>590000</v>
      </c>
      <c r="D27" s="29">
        <v>2360000</v>
      </c>
      <c r="E27" s="29">
        <v>2450000</v>
      </c>
      <c r="F27" s="30">
        <v>0.13546703296703297</v>
      </c>
    </row>
    <row r="28" spans="1:12">
      <c r="A28" t="s">
        <v>15</v>
      </c>
      <c r="B28" s="29">
        <v>1280000</v>
      </c>
      <c r="C28" s="29">
        <v>360000</v>
      </c>
      <c r="D28" s="29">
        <v>1650000</v>
      </c>
      <c r="E28" s="29">
        <v>1640000</v>
      </c>
      <c r="F28" s="30">
        <v>-2.4737099535338716E-2</v>
      </c>
    </row>
    <row r="29" spans="1:12">
      <c r="A29" t="s">
        <v>12</v>
      </c>
      <c r="B29" s="29">
        <v>2005000</v>
      </c>
      <c r="C29" s="29">
        <v>645000</v>
      </c>
      <c r="D29" s="29">
        <v>2510000</v>
      </c>
      <c r="E29" s="29">
        <v>2650000</v>
      </c>
      <c r="F29" s="30">
        <v>0.22850688926638291</v>
      </c>
    </row>
    <row r="30" spans="1:12">
      <c r="A30" t="s">
        <v>9</v>
      </c>
      <c r="B30" s="29">
        <v>2120000</v>
      </c>
      <c r="C30" s="29">
        <v>660000</v>
      </c>
      <c r="D30" s="29">
        <v>2685000</v>
      </c>
      <c r="E30" s="29">
        <v>2780000</v>
      </c>
      <c r="F30" s="30">
        <v>0.12001283740414175</v>
      </c>
    </row>
    <row r="31" spans="1:12">
      <c r="A31" t="s">
        <v>18</v>
      </c>
      <c r="B31" s="29">
        <v>1540000</v>
      </c>
      <c r="C31" s="29">
        <v>480000</v>
      </c>
      <c r="D31" s="29">
        <v>1920000</v>
      </c>
      <c r="E31" s="29">
        <v>2020000</v>
      </c>
      <c r="F31" s="30">
        <v>0.15533498759305212</v>
      </c>
    </row>
    <row r="32" spans="1:12">
      <c r="A32" t="s">
        <v>50</v>
      </c>
      <c r="B32" s="29">
        <v>8805000</v>
      </c>
      <c r="C32" s="29">
        <v>2735000</v>
      </c>
      <c r="D32" s="29">
        <v>11125000</v>
      </c>
      <c r="E32" s="29">
        <v>11540000</v>
      </c>
      <c r="F32" s="30">
        <v>0.61458464769527099</v>
      </c>
    </row>
    <row r="34" spans="1:1" ht="29.25">
      <c r="A34" s="31" t="s">
        <v>51</v>
      </c>
    </row>
  </sheetData>
  <mergeCells count="6">
    <mergeCell ref="H5:I5"/>
    <mergeCell ref="K5:L5"/>
    <mergeCell ref="K11:L11"/>
    <mergeCell ref="H13:I13"/>
    <mergeCell ref="K15:L15"/>
    <mergeCell ref="K23:L23"/>
  </mergeCells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2026-02-23T14:20:36Z</dcterms:created>
  <dcterms:modified xsi:type="dcterms:W3CDTF">2026-02-23T14:51:06Z</dcterms:modified>
  <cp:category/>
  <cp:contentStatus/>
</cp:coreProperties>
</file>