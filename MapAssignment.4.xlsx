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8F71A837-DC36-4926-A232-4CECC993E8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URANCE" sheetId="1" r:id="rId1"/>
  </sheets>
  <calcPr calcId="191028"/>
  <pivotCaches>
    <pivotCache cacheId="126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I20" i="1"/>
  <c r="I19" i="1"/>
  <c r="I18" i="1"/>
  <c r="L17" i="1"/>
  <c r="I17" i="1"/>
  <c r="L16" i="1"/>
  <c r="L15" i="1"/>
  <c r="L14" i="1"/>
  <c r="L13" i="1"/>
  <c r="I13" i="1"/>
  <c r="I12" i="1"/>
  <c r="I11" i="1"/>
  <c r="L10" i="1"/>
  <c r="L9" i="1"/>
  <c r="I8" i="1"/>
  <c r="I7" i="1"/>
  <c r="L6" i="1"/>
  <c r="I6" i="1"/>
  <c r="L5" i="1"/>
  <c r="I5" i="1"/>
  <c r="L4" i="1"/>
  <c r="I4" i="1"/>
</calcChain>
</file>

<file path=xl/sharedStrings.xml><?xml version="1.0" encoding="utf-8"?>
<sst xmlns="http://schemas.openxmlformats.org/spreadsheetml/2006/main" count="145" uniqueCount="86">
  <si>
    <t>Policy Number</t>
  </si>
  <si>
    <t>Customer Age</t>
  </si>
  <si>
    <t>Premium</t>
  </si>
  <si>
    <t>Claim Amount</t>
  </si>
  <si>
    <t>Policy Type</t>
  </si>
  <si>
    <t>Mathematical Functions</t>
  </si>
  <si>
    <t>Date Functions</t>
  </si>
  <si>
    <t>POL001</t>
  </si>
  <si>
    <t>Health</t>
  </si>
  <si>
    <t>Minimum claim  =</t>
  </si>
  <si>
    <t>Now =</t>
  </si>
  <si>
    <t>POL002</t>
  </si>
  <si>
    <t>Life</t>
  </si>
  <si>
    <t>Maximum premium =</t>
  </si>
  <si>
    <t>DateDif (of start to end )=</t>
  </si>
  <si>
    <t>POL003</t>
  </si>
  <si>
    <t>Vehicle</t>
  </si>
  <si>
    <t>Count of customer age =</t>
  </si>
  <si>
    <t>Today =</t>
  </si>
  <si>
    <t>POL004</t>
  </si>
  <si>
    <t xml:space="preserve">Total premium = </t>
  </si>
  <si>
    <t>POL005</t>
  </si>
  <si>
    <t>Average claim amount =</t>
  </si>
  <si>
    <t>Financial Functions</t>
  </si>
  <si>
    <t>POL006</t>
  </si>
  <si>
    <t>PMT</t>
  </si>
  <si>
    <t>POL007</t>
  </si>
  <si>
    <t>Logical Functions</t>
  </si>
  <si>
    <t>NPV</t>
  </si>
  <si>
    <t>POL008</t>
  </si>
  <si>
    <t xml:space="preserve">If( max or min claim) = </t>
  </si>
  <si>
    <t>POL009</t>
  </si>
  <si>
    <t>And (true or false) =</t>
  </si>
  <si>
    <t>Statistical Functions</t>
  </si>
  <si>
    <t>POL010</t>
  </si>
  <si>
    <t>Or (true or false) =</t>
  </si>
  <si>
    <t>Mean=</t>
  </si>
  <si>
    <t>POL011</t>
  </si>
  <si>
    <t>Mode( in ) =</t>
  </si>
  <si>
    <t>POL012</t>
  </si>
  <si>
    <t>Median =</t>
  </si>
  <si>
    <t>POL013</t>
  </si>
  <si>
    <t>Text Functions</t>
  </si>
  <si>
    <t>Standard Deviation =</t>
  </si>
  <si>
    <t>POL014</t>
  </si>
  <si>
    <t>Left(3,d8) =</t>
  </si>
  <si>
    <t>Correlation between premium &amp; claim =</t>
  </si>
  <si>
    <t>POL015</t>
  </si>
  <si>
    <t>Right(4,d11) =</t>
  </si>
  <si>
    <t>POL016</t>
  </si>
  <si>
    <t>Mid(2,3,c9) =</t>
  </si>
  <si>
    <t>POL017</t>
  </si>
  <si>
    <t>Concat(c18+d18) =</t>
  </si>
  <si>
    <t>Lookup Functions</t>
  </si>
  <si>
    <t>POL018</t>
  </si>
  <si>
    <t>Vlookup</t>
  </si>
  <si>
    <t>POL019</t>
  </si>
  <si>
    <t>Hlookup</t>
  </si>
  <si>
    <t>POL020</t>
  </si>
  <si>
    <t>Xlookup</t>
  </si>
  <si>
    <t>PIVOT TABLE</t>
  </si>
  <si>
    <t>PIVOT CHART</t>
  </si>
  <si>
    <t>Sum of Customer Age</t>
  </si>
  <si>
    <t>Sum of Premium</t>
  </si>
  <si>
    <t>Sum of Claim Amount</t>
  </si>
  <si>
    <t>POL001 Total</t>
  </si>
  <si>
    <t>POL002 Total</t>
  </si>
  <si>
    <t>POL003 Total</t>
  </si>
  <si>
    <t>POL004 Total</t>
  </si>
  <si>
    <t>POL005 Total</t>
  </si>
  <si>
    <t>POL006 Total</t>
  </si>
  <si>
    <t>POL007 Total</t>
  </si>
  <si>
    <t>POL008 Total</t>
  </si>
  <si>
    <t>POL009 Total</t>
  </si>
  <si>
    <t>POL010 Total</t>
  </si>
  <si>
    <t>POL011 Total</t>
  </si>
  <si>
    <t>POL012 Total</t>
  </si>
  <si>
    <t>POL013 Total</t>
  </si>
  <si>
    <t>POL014 Total</t>
  </si>
  <si>
    <t>POL015 Total</t>
  </si>
  <si>
    <t>POL016 Total</t>
  </si>
  <si>
    <t>POL017 Total</t>
  </si>
  <si>
    <t>POL018 Total</t>
  </si>
  <si>
    <t>POL019 Total</t>
  </si>
  <si>
    <t>POL020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</si>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</sst>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4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Agency FB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medium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theme="7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7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4" xfId="0" applyFill="1" applyBorder="1"/>
    <xf numFmtId="0" fontId="0" fillId="3" borderId="5" xfId="0" applyFill="1" applyBorder="1"/>
    <xf numFmtId="22" fontId="0" fillId="3" borderId="5" xfId="0" applyNumberFormat="1" applyFill="1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14" fontId="0" fillId="3" borderId="7" xfId="0" applyNumberFormat="1" applyFill="1" applyBorder="1"/>
    <xf numFmtId="0" fontId="0" fillId="3" borderId="7" xfId="0" applyFill="1" applyBorder="1"/>
    <xf numFmtId="0" fontId="2" fillId="0" borderId="0" xfId="0" applyFont="1" applyAlignment="1">
      <alignment horizontal="center"/>
    </xf>
    <xf numFmtId="164" fontId="0" fillId="3" borderId="5" xfId="0" applyNumberFormat="1" applyFill="1" applyBorder="1"/>
    <xf numFmtId="0" fontId="0" fillId="0" borderId="6" xfId="0" applyBorder="1"/>
    <xf numFmtId="164" fontId="0" fillId="0" borderId="7" xfId="0" applyNumberFormat="1" applyBorder="1"/>
    <xf numFmtId="0" fontId="0" fillId="0" borderId="0" xfId="0" applyAlignment="1">
      <alignment horizontal="center"/>
    </xf>
    <xf numFmtId="0" fontId="0" fillId="0" borderId="7" xfId="0" applyBorder="1"/>
    <xf numFmtId="0" fontId="0" fillId="3" borderId="5" xfId="0" applyFill="1" applyBorder="1" applyAlignment="1">
      <alignment horizontal="center"/>
    </xf>
    <xf numFmtId="0" fontId="3" fillId="4" borderId="0" xfId="0" applyFont="1" applyFill="1"/>
    <xf numFmtId="10" fontId="3" fillId="4" borderId="0" xfId="0" applyNumberFormat="1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border>
        <bottom style="double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[MapAssignment.4.xlsx]INSURANCE!PivotTable1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AND PREMIUM AND VALID CLAIMS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INSURANCE!$C$27</c:f>
              <c:strCache>
                <c:ptCount val="1"/>
                <c:pt idx="0">
                  <c:v>Sum of Customer 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INSURANCE!$A$28:$B$68</c:f>
              <c:multiLvlStrCache>
                <c:ptCount val="20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Health</c:v>
                  </c:pt>
                  <c:pt idx="4">
                    <c:v>Life</c:v>
                  </c:pt>
                  <c:pt idx="5">
                    <c:v>Vehicle</c:v>
                  </c:pt>
                  <c:pt idx="6">
                    <c:v>Health</c:v>
                  </c:pt>
                  <c:pt idx="7">
                    <c:v>Life</c:v>
                  </c:pt>
                  <c:pt idx="8">
                    <c:v>Vehicle</c:v>
                  </c:pt>
                  <c:pt idx="9">
                    <c:v>Health</c:v>
                  </c:pt>
                  <c:pt idx="10">
                    <c:v>Life</c:v>
                  </c:pt>
                  <c:pt idx="11">
                    <c:v>Vehicle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  <c:pt idx="15">
                    <c:v>Health</c:v>
                  </c:pt>
                  <c:pt idx="16">
                    <c:v>Life</c:v>
                  </c:pt>
                  <c:pt idx="17">
                    <c:v>Vehicle</c:v>
                  </c:pt>
                  <c:pt idx="18">
                    <c:v>Health</c:v>
                  </c:pt>
                  <c:pt idx="19">
                    <c:v>Life</c:v>
                  </c:pt>
                </c:lvl>
                <c:lvl>
                  <c:pt idx="0">
                    <c:v>POL001</c:v>
                  </c:pt>
                  <c:pt idx="1">
                    <c:v>POL002</c:v>
                  </c:pt>
                  <c:pt idx="2">
                    <c:v>POL003</c:v>
                  </c:pt>
                  <c:pt idx="3">
                    <c:v>POL004</c:v>
                  </c:pt>
                  <c:pt idx="4">
                    <c:v>POL005</c:v>
                  </c:pt>
                  <c:pt idx="5">
                    <c:v>POL006</c:v>
                  </c:pt>
                  <c:pt idx="6">
                    <c:v>POL007</c:v>
                  </c:pt>
                  <c:pt idx="7">
                    <c:v>POL008</c:v>
                  </c:pt>
                  <c:pt idx="8">
                    <c:v>POL009</c:v>
                  </c:pt>
                  <c:pt idx="9">
                    <c:v>POL010</c:v>
                  </c:pt>
                  <c:pt idx="10">
                    <c:v>POL011</c:v>
                  </c:pt>
                  <c:pt idx="11">
                    <c:v>POL012</c:v>
                  </c:pt>
                  <c:pt idx="12">
                    <c:v>POL013</c:v>
                  </c:pt>
                  <c:pt idx="13">
                    <c:v>POL014</c:v>
                  </c:pt>
                  <c:pt idx="14">
                    <c:v>POL015</c:v>
                  </c:pt>
                  <c:pt idx="15">
                    <c:v>POL016</c:v>
                  </c:pt>
                  <c:pt idx="16">
                    <c:v>POL017</c:v>
                  </c:pt>
                  <c:pt idx="17">
                    <c:v>POL018</c:v>
                  </c:pt>
                  <c:pt idx="18">
                    <c:v>POL019</c:v>
                  </c:pt>
                  <c:pt idx="19">
                    <c:v>POL020</c:v>
                  </c:pt>
                </c:lvl>
              </c:multiLvlStrCache>
            </c:multiLvlStrRef>
          </c:cat>
          <c:val>
            <c:numRef>
              <c:f>INSURANCE!$C$28:$C$68</c:f>
              <c:numCache>
                <c:formatCode>General</c:formatCode>
                <c:ptCount val="20"/>
                <c:pt idx="0">
                  <c:v>25</c:v>
                </c:pt>
                <c:pt idx="1">
                  <c:v>40</c:v>
                </c:pt>
                <c:pt idx="2">
                  <c:v>32</c:v>
                </c:pt>
                <c:pt idx="3">
                  <c:v>55</c:v>
                </c:pt>
                <c:pt idx="4">
                  <c:v>29</c:v>
                </c:pt>
                <c:pt idx="5">
                  <c:v>45</c:v>
                </c:pt>
                <c:pt idx="6">
                  <c:v>38</c:v>
                </c:pt>
                <c:pt idx="7">
                  <c:v>60</c:v>
                </c:pt>
                <c:pt idx="8">
                  <c:v>27</c:v>
                </c:pt>
                <c:pt idx="9">
                  <c:v>50</c:v>
                </c:pt>
                <c:pt idx="10">
                  <c:v>34</c:v>
                </c:pt>
                <c:pt idx="11">
                  <c:v>48</c:v>
                </c:pt>
                <c:pt idx="12">
                  <c:v>30</c:v>
                </c:pt>
                <c:pt idx="13">
                  <c:v>52</c:v>
                </c:pt>
                <c:pt idx="14">
                  <c:v>36</c:v>
                </c:pt>
                <c:pt idx="15">
                  <c:v>42</c:v>
                </c:pt>
                <c:pt idx="16">
                  <c:v>28</c:v>
                </c:pt>
                <c:pt idx="17">
                  <c:v>58</c:v>
                </c:pt>
                <c:pt idx="18">
                  <c:v>30</c:v>
                </c:pt>
                <c:pt idx="1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5-4884-A86B-D83D3ECB8A76}"/>
            </c:ext>
          </c:extLst>
        </c:ser>
        <c:ser>
          <c:idx val="1"/>
          <c:order val="1"/>
          <c:tx>
            <c:strRef>
              <c:f>INSURANCE!$D$27</c:f>
              <c:strCache>
                <c:ptCount val="1"/>
                <c:pt idx="0">
                  <c:v>Sum of Premium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INSURANCE!$A$28:$B$68</c:f>
              <c:multiLvlStrCache>
                <c:ptCount val="20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Health</c:v>
                  </c:pt>
                  <c:pt idx="4">
                    <c:v>Life</c:v>
                  </c:pt>
                  <c:pt idx="5">
                    <c:v>Vehicle</c:v>
                  </c:pt>
                  <c:pt idx="6">
                    <c:v>Health</c:v>
                  </c:pt>
                  <c:pt idx="7">
                    <c:v>Life</c:v>
                  </c:pt>
                  <c:pt idx="8">
                    <c:v>Vehicle</c:v>
                  </c:pt>
                  <c:pt idx="9">
                    <c:v>Health</c:v>
                  </c:pt>
                  <c:pt idx="10">
                    <c:v>Life</c:v>
                  </c:pt>
                  <c:pt idx="11">
                    <c:v>Vehicle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  <c:pt idx="15">
                    <c:v>Health</c:v>
                  </c:pt>
                  <c:pt idx="16">
                    <c:v>Life</c:v>
                  </c:pt>
                  <c:pt idx="17">
                    <c:v>Vehicle</c:v>
                  </c:pt>
                  <c:pt idx="18">
                    <c:v>Health</c:v>
                  </c:pt>
                  <c:pt idx="19">
                    <c:v>Life</c:v>
                  </c:pt>
                </c:lvl>
                <c:lvl>
                  <c:pt idx="0">
                    <c:v>POL001</c:v>
                  </c:pt>
                  <c:pt idx="1">
                    <c:v>POL002</c:v>
                  </c:pt>
                  <c:pt idx="2">
                    <c:v>POL003</c:v>
                  </c:pt>
                  <c:pt idx="3">
                    <c:v>POL004</c:v>
                  </c:pt>
                  <c:pt idx="4">
                    <c:v>POL005</c:v>
                  </c:pt>
                  <c:pt idx="5">
                    <c:v>POL006</c:v>
                  </c:pt>
                  <c:pt idx="6">
                    <c:v>POL007</c:v>
                  </c:pt>
                  <c:pt idx="7">
                    <c:v>POL008</c:v>
                  </c:pt>
                  <c:pt idx="8">
                    <c:v>POL009</c:v>
                  </c:pt>
                  <c:pt idx="9">
                    <c:v>POL010</c:v>
                  </c:pt>
                  <c:pt idx="10">
                    <c:v>POL011</c:v>
                  </c:pt>
                  <c:pt idx="11">
                    <c:v>POL012</c:v>
                  </c:pt>
                  <c:pt idx="12">
                    <c:v>POL013</c:v>
                  </c:pt>
                  <c:pt idx="13">
                    <c:v>POL014</c:v>
                  </c:pt>
                  <c:pt idx="14">
                    <c:v>POL015</c:v>
                  </c:pt>
                  <c:pt idx="15">
                    <c:v>POL016</c:v>
                  </c:pt>
                  <c:pt idx="16">
                    <c:v>POL017</c:v>
                  </c:pt>
                  <c:pt idx="17">
                    <c:v>POL018</c:v>
                  </c:pt>
                  <c:pt idx="18">
                    <c:v>POL019</c:v>
                  </c:pt>
                  <c:pt idx="19">
                    <c:v>POL020</c:v>
                  </c:pt>
                </c:lvl>
              </c:multiLvlStrCache>
            </c:multiLvlStrRef>
          </c:cat>
          <c:val>
            <c:numRef>
              <c:f>INSURANCE!$D$28:$D$68</c:f>
              <c:numCache>
                <c:formatCode>General</c:formatCode>
                <c:ptCount val="20"/>
                <c:pt idx="0">
                  <c:v>12000</c:v>
                </c:pt>
                <c:pt idx="1">
                  <c:v>18000</c:v>
                </c:pt>
                <c:pt idx="2">
                  <c:v>15000</c:v>
                </c:pt>
                <c:pt idx="3">
                  <c:v>22000</c:v>
                </c:pt>
                <c:pt idx="4">
                  <c:v>14000</c:v>
                </c:pt>
                <c:pt idx="5">
                  <c:v>20000</c:v>
                </c:pt>
                <c:pt idx="6">
                  <c:v>17000</c:v>
                </c:pt>
                <c:pt idx="7">
                  <c:v>25000</c:v>
                </c:pt>
                <c:pt idx="8">
                  <c:v>13000</c:v>
                </c:pt>
                <c:pt idx="9">
                  <c:v>21000</c:v>
                </c:pt>
                <c:pt idx="10">
                  <c:v>16000</c:v>
                </c:pt>
                <c:pt idx="11">
                  <c:v>19500</c:v>
                </c:pt>
                <c:pt idx="12">
                  <c:v>14500</c:v>
                </c:pt>
                <c:pt idx="13">
                  <c:v>23000</c:v>
                </c:pt>
                <c:pt idx="14">
                  <c:v>17500</c:v>
                </c:pt>
                <c:pt idx="15">
                  <c:v>19000</c:v>
                </c:pt>
                <c:pt idx="16">
                  <c:v>13500</c:v>
                </c:pt>
                <c:pt idx="17">
                  <c:v>24000</c:v>
                </c:pt>
                <c:pt idx="18">
                  <c:v>15500</c:v>
                </c:pt>
                <c:pt idx="19">
                  <c:v>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15-4884-A86B-D83D3ECB8A76}"/>
            </c:ext>
          </c:extLst>
        </c:ser>
        <c:ser>
          <c:idx val="2"/>
          <c:order val="2"/>
          <c:tx>
            <c:strRef>
              <c:f>INSURANCE!$E$27</c:f>
              <c:strCache>
                <c:ptCount val="1"/>
                <c:pt idx="0">
                  <c:v>Sum of Claim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INSURANCE!$A$28:$B$68</c:f>
              <c:multiLvlStrCache>
                <c:ptCount val="20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Health</c:v>
                  </c:pt>
                  <c:pt idx="4">
                    <c:v>Life</c:v>
                  </c:pt>
                  <c:pt idx="5">
                    <c:v>Vehicle</c:v>
                  </c:pt>
                  <c:pt idx="6">
                    <c:v>Health</c:v>
                  </c:pt>
                  <c:pt idx="7">
                    <c:v>Life</c:v>
                  </c:pt>
                  <c:pt idx="8">
                    <c:v>Vehicle</c:v>
                  </c:pt>
                  <c:pt idx="9">
                    <c:v>Health</c:v>
                  </c:pt>
                  <c:pt idx="10">
                    <c:v>Life</c:v>
                  </c:pt>
                  <c:pt idx="11">
                    <c:v>Vehicle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  <c:pt idx="15">
                    <c:v>Health</c:v>
                  </c:pt>
                  <c:pt idx="16">
                    <c:v>Life</c:v>
                  </c:pt>
                  <c:pt idx="17">
                    <c:v>Vehicle</c:v>
                  </c:pt>
                  <c:pt idx="18">
                    <c:v>Health</c:v>
                  </c:pt>
                  <c:pt idx="19">
                    <c:v>Life</c:v>
                  </c:pt>
                </c:lvl>
                <c:lvl>
                  <c:pt idx="0">
                    <c:v>POL001</c:v>
                  </c:pt>
                  <c:pt idx="1">
                    <c:v>POL002</c:v>
                  </c:pt>
                  <c:pt idx="2">
                    <c:v>POL003</c:v>
                  </c:pt>
                  <c:pt idx="3">
                    <c:v>POL004</c:v>
                  </c:pt>
                  <c:pt idx="4">
                    <c:v>POL005</c:v>
                  </c:pt>
                  <c:pt idx="5">
                    <c:v>POL006</c:v>
                  </c:pt>
                  <c:pt idx="6">
                    <c:v>POL007</c:v>
                  </c:pt>
                  <c:pt idx="7">
                    <c:v>POL008</c:v>
                  </c:pt>
                  <c:pt idx="8">
                    <c:v>POL009</c:v>
                  </c:pt>
                  <c:pt idx="9">
                    <c:v>POL010</c:v>
                  </c:pt>
                  <c:pt idx="10">
                    <c:v>POL011</c:v>
                  </c:pt>
                  <c:pt idx="11">
                    <c:v>POL012</c:v>
                  </c:pt>
                  <c:pt idx="12">
                    <c:v>POL013</c:v>
                  </c:pt>
                  <c:pt idx="13">
                    <c:v>POL014</c:v>
                  </c:pt>
                  <c:pt idx="14">
                    <c:v>POL015</c:v>
                  </c:pt>
                  <c:pt idx="15">
                    <c:v>POL016</c:v>
                  </c:pt>
                  <c:pt idx="16">
                    <c:v>POL017</c:v>
                  </c:pt>
                  <c:pt idx="17">
                    <c:v>POL018</c:v>
                  </c:pt>
                  <c:pt idx="18">
                    <c:v>POL019</c:v>
                  </c:pt>
                  <c:pt idx="19">
                    <c:v>POL020</c:v>
                  </c:pt>
                </c:lvl>
              </c:multiLvlStrCache>
            </c:multiLvlStrRef>
          </c:cat>
          <c:val>
            <c:numRef>
              <c:f>INSURANCE!$E$28:$E$68</c:f>
              <c:numCache>
                <c:formatCode>General</c:formatCode>
                <c:ptCount val="20"/>
                <c:pt idx="0">
                  <c:v>0</c:v>
                </c:pt>
                <c:pt idx="1">
                  <c:v>5000</c:v>
                </c:pt>
                <c:pt idx="2">
                  <c:v>0</c:v>
                </c:pt>
                <c:pt idx="3">
                  <c:v>12000</c:v>
                </c:pt>
                <c:pt idx="4">
                  <c:v>0</c:v>
                </c:pt>
                <c:pt idx="5">
                  <c:v>8000</c:v>
                </c:pt>
                <c:pt idx="6">
                  <c:v>0</c:v>
                </c:pt>
                <c:pt idx="7">
                  <c:v>15000</c:v>
                </c:pt>
                <c:pt idx="8">
                  <c:v>0</c:v>
                </c:pt>
                <c:pt idx="9">
                  <c:v>10000</c:v>
                </c:pt>
                <c:pt idx="10">
                  <c:v>0</c:v>
                </c:pt>
                <c:pt idx="11">
                  <c:v>9000</c:v>
                </c:pt>
                <c:pt idx="12">
                  <c:v>0</c:v>
                </c:pt>
                <c:pt idx="13">
                  <c:v>11000</c:v>
                </c:pt>
                <c:pt idx="14">
                  <c:v>0</c:v>
                </c:pt>
                <c:pt idx="15">
                  <c:v>7000</c:v>
                </c:pt>
                <c:pt idx="16">
                  <c:v>0</c:v>
                </c:pt>
                <c:pt idx="17">
                  <c:v>14000</c:v>
                </c:pt>
                <c:pt idx="18">
                  <c:v>0</c:v>
                </c:pt>
                <c:pt idx="19">
                  <c:v>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15-4884-A86B-D83D3ECB8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705287"/>
        <c:axId val="1636707335"/>
      </c:lineChart>
      <c:catAx>
        <c:axId val="1636705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07335"/>
        <c:crosses val="autoZero"/>
        <c:auto val="1"/>
        <c:lblAlgn val="ctr"/>
        <c:lblOffset val="100"/>
        <c:noMultiLvlLbl val="0"/>
      </c:catAx>
      <c:valAx>
        <c:axId val="163670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0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66675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3FFAB3-17CD-6F68-A85D-84F159A1CD0E}"/>
            </a:ext>
          </a:extLst>
        </xdr:cNvPr>
        <xdr:cNvSpPr txBox="1"/>
      </xdr:nvSpPr>
      <xdr:spPr>
        <a:xfrm>
          <a:off x="0" y="0"/>
          <a:ext cx="57054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INSURANCE PREMIUM AND VLAIMS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12</xdr:col>
      <xdr:colOff>47625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8D3636-6393-4A08-B05F-5445393680F4}"/>
            </a:ext>
            <a:ext uri="{147F2762-F138-4A5C-976F-8EAC2B608ADB}">
              <a16:predDERef xmlns:a16="http://schemas.microsoft.com/office/drawing/2014/main" pred="{833FFAB3-17CD-6F68-A85D-84F159A1CD0E}"/>
            </a:ext>
          </a:extLst>
        </xdr:cNvPr>
        <xdr:cNvSpPr txBox="1"/>
      </xdr:nvSpPr>
      <xdr:spPr>
        <a:xfrm>
          <a:off x="6858000" y="0"/>
          <a:ext cx="73437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EXCEL FUNCTIONS</a:t>
          </a:r>
        </a:p>
      </xdr:txBody>
    </xdr:sp>
    <xdr:clientData/>
  </xdr:twoCellAnchor>
  <xdr:twoCellAnchor>
    <xdr:from>
      <xdr:col>6</xdr:col>
      <xdr:colOff>600075</xdr:colOff>
      <xdr:row>27</xdr:row>
      <xdr:rowOff>9525</xdr:rowOff>
    </xdr:from>
    <xdr:to>
      <xdr:col>17</xdr:col>
      <xdr:colOff>95250</xdr:colOff>
      <xdr:row>50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8DE045-A7E9-93BC-DA48-163CBBF0158C}"/>
            </a:ext>
            <a:ext uri="{147F2762-F138-4A5C-976F-8EAC2B608ADB}">
              <a16:predDERef xmlns:a16="http://schemas.microsoft.com/office/drawing/2014/main" pred="{A78D3636-6393-4A08-B05F-544539368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956507870367" createdVersion="8" refreshedVersion="8" minRefreshableVersion="3" recordCount="20" xr:uid="{F25094D6-6915-4961-97C8-E9226565B5AE}">
  <cacheSource type="worksheet">
    <worksheetSource name="Table5"/>
  </cacheSource>
  <cacheFields count="5">
    <cacheField name="Policy Number" numFmtId="0">
      <sharedItems count="20">
        <s v="POL001"/>
        <s v="POL002"/>
        <s v="POL003"/>
        <s v="POL004"/>
        <s v="POL005"/>
        <s v="POL006"/>
        <s v="POL007"/>
        <s v="POL008"/>
        <s v="POL009"/>
        <s v="POL010"/>
        <s v="POL011"/>
        <s v="POL012"/>
        <s v="POL013"/>
        <s v="POL014"/>
        <s v="POL015"/>
        <s v="POL016"/>
        <s v="POL017"/>
        <s v="POL018"/>
        <s v="POL019"/>
        <s v="POL020"/>
      </sharedItems>
    </cacheField>
    <cacheField name="Customer Age" numFmtId="0">
      <sharedItems containsSemiMixedTypes="0" containsString="0" containsNumber="1" containsInteger="1" minValue="25" maxValue="60"/>
    </cacheField>
    <cacheField name="Premium" numFmtId="0">
      <sharedItems containsSemiMixedTypes="0" containsString="0" containsNumber="1" containsInteger="1" minValue="12000" maxValue="25000"/>
    </cacheField>
    <cacheField name="Claim Amount" numFmtId="0">
      <sharedItems containsSemiMixedTypes="0" containsString="0" containsNumber="1" containsInteger="1" minValue="0" maxValue="15000"/>
    </cacheField>
    <cacheField name="Policy Type" numFmtId="0">
      <sharedItems count="3">
        <s v="Health"/>
        <s v="Life"/>
        <s v="Vehic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5"/>
    <n v="12000"/>
    <n v="0"/>
    <x v="0"/>
  </r>
  <r>
    <x v="1"/>
    <n v="40"/>
    <n v="18000"/>
    <n v="5000"/>
    <x v="1"/>
  </r>
  <r>
    <x v="2"/>
    <n v="32"/>
    <n v="15000"/>
    <n v="0"/>
    <x v="2"/>
  </r>
  <r>
    <x v="3"/>
    <n v="55"/>
    <n v="22000"/>
    <n v="12000"/>
    <x v="0"/>
  </r>
  <r>
    <x v="4"/>
    <n v="29"/>
    <n v="14000"/>
    <n v="0"/>
    <x v="1"/>
  </r>
  <r>
    <x v="5"/>
    <n v="45"/>
    <n v="20000"/>
    <n v="8000"/>
    <x v="2"/>
  </r>
  <r>
    <x v="6"/>
    <n v="38"/>
    <n v="17000"/>
    <n v="0"/>
    <x v="0"/>
  </r>
  <r>
    <x v="7"/>
    <n v="60"/>
    <n v="25000"/>
    <n v="15000"/>
    <x v="1"/>
  </r>
  <r>
    <x v="8"/>
    <n v="27"/>
    <n v="13000"/>
    <n v="0"/>
    <x v="2"/>
  </r>
  <r>
    <x v="9"/>
    <n v="50"/>
    <n v="21000"/>
    <n v="10000"/>
    <x v="0"/>
  </r>
  <r>
    <x v="10"/>
    <n v="34"/>
    <n v="16000"/>
    <n v="0"/>
    <x v="1"/>
  </r>
  <r>
    <x v="11"/>
    <n v="48"/>
    <n v="19500"/>
    <n v="9000"/>
    <x v="2"/>
  </r>
  <r>
    <x v="12"/>
    <n v="30"/>
    <n v="14500"/>
    <n v="0"/>
    <x v="0"/>
  </r>
  <r>
    <x v="13"/>
    <n v="52"/>
    <n v="23000"/>
    <n v="11000"/>
    <x v="1"/>
  </r>
  <r>
    <x v="14"/>
    <n v="36"/>
    <n v="17500"/>
    <n v="0"/>
    <x v="2"/>
  </r>
  <r>
    <x v="15"/>
    <n v="42"/>
    <n v="19000"/>
    <n v="7000"/>
    <x v="0"/>
  </r>
  <r>
    <x v="16"/>
    <n v="28"/>
    <n v="13500"/>
    <n v="0"/>
    <x v="1"/>
  </r>
  <r>
    <x v="17"/>
    <n v="58"/>
    <n v="24000"/>
    <n v="14000"/>
    <x v="2"/>
  </r>
  <r>
    <x v="18"/>
    <n v="30"/>
    <n v="15500"/>
    <n v="0"/>
    <x v="0"/>
  </r>
  <r>
    <x v="19"/>
    <n v="47"/>
    <n v="20500"/>
    <n v="9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5AC3A-CB18-4477-A8FE-61A70F1FE3C1}" name="PivotTable1" cacheId="126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E68" firstHeaderRow="0" firstDataRow="1" firstDataCol="2"/>
  <pivotFields count="5">
    <pivotField axis="axisRow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2">
    <field x="0"/>
    <field x="4"/>
  </rowFields>
  <rowItems count="41">
    <i>
      <x/>
      <x/>
    </i>
    <i t="default">
      <x/>
    </i>
    <i>
      <x v="1"/>
      <x v="1"/>
    </i>
    <i t="default">
      <x v="1"/>
    </i>
    <i>
      <x v="2"/>
      <x v="2"/>
    </i>
    <i t="default">
      <x v="2"/>
    </i>
    <i>
      <x v="3"/>
      <x/>
    </i>
    <i t="default">
      <x v="3"/>
    </i>
    <i>
      <x v="4"/>
      <x v="1"/>
    </i>
    <i t="default">
      <x v="4"/>
    </i>
    <i>
      <x v="5"/>
      <x v="2"/>
    </i>
    <i t="default">
      <x v="5"/>
    </i>
    <i>
      <x v="6"/>
      <x/>
    </i>
    <i t="default">
      <x v="6"/>
    </i>
    <i>
      <x v="7"/>
      <x v="1"/>
    </i>
    <i t="default">
      <x v="7"/>
    </i>
    <i>
      <x v="8"/>
      <x v="2"/>
    </i>
    <i t="default">
      <x v="8"/>
    </i>
    <i>
      <x v="9"/>
      <x/>
    </i>
    <i t="default">
      <x v="9"/>
    </i>
    <i>
      <x v="10"/>
      <x v="1"/>
    </i>
    <i t="default">
      <x v="10"/>
    </i>
    <i>
      <x v="11"/>
      <x v="2"/>
    </i>
    <i t="default">
      <x v="11"/>
    </i>
    <i>
      <x v="12"/>
      <x/>
    </i>
    <i t="default">
      <x v="12"/>
    </i>
    <i>
      <x v="13"/>
      <x v="1"/>
    </i>
    <i t="default">
      <x v="13"/>
    </i>
    <i>
      <x v="14"/>
      <x v="2"/>
    </i>
    <i t="default">
      <x v="14"/>
    </i>
    <i>
      <x v="15"/>
      <x/>
    </i>
    <i t="default">
      <x v="15"/>
    </i>
    <i>
      <x v="16"/>
      <x v="1"/>
    </i>
    <i t="default">
      <x v="16"/>
    </i>
    <i>
      <x v="17"/>
      <x v="2"/>
    </i>
    <i t="default">
      <x v="17"/>
    </i>
    <i>
      <x v="18"/>
      <x/>
    </i>
    <i t="default">
      <x v="18"/>
    </i>
    <i>
      <x v="19"/>
      <x v="1"/>
    </i>
    <i t="default"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ustomer Age" fld="1" baseField="0" baseItem="0"/>
    <dataField name="Sum of Premium" fld="2" baseField="0" baseItem="0"/>
    <dataField name="Sum of Claim Amoun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15305-11A6-46F3-B7E9-BF6B82F1E9CB}" name="Table5" displayName="Table5" ref="A3:E23" totalsRowShown="0" headerRowBorderDxfId="1" tableBorderDxfId="2">
  <autoFilter ref="A3:E23" xr:uid="{86115305-11A6-46F3-B7E9-BF6B82F1E9CB}"/>
  <tableColumns count="5">
    <tableColumn id="1" xr3:uid="{266DE193-3961-48E9-A270-B1CB63616D1B}" name="Policy Number"/>
    <tableColumn id="2" xr3:uid="{4FF84611-695F-4BAC-BC9E-B76B52D49820}" name="Customer Age"/>
    <tableColumn id="3" xr3:uid="{96152B07-D1A0-4A45-A501-24023A570CEC}" name="Premium"/>
    <tableColumn id="4" xr3:uid="{45360F23-5F22-4F9C-8647-76E17BC03753}" name="Claim Amount"/>
    <tableColumn id="5" xr3:uid="{44EF4149-9FC8-4044-951A-AEF05141CA96}" name="Policy Typ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8"/>
  <sheetViews>
    <sheetView tabSelected="1" workbookViewId="0">
      <selection activeCell="AB25" sqref="AB25"/>
    </sheetView>
  </sheetViews>
  <sheetFormatPr defaultRowHeight="15"/>
  <cols>
    <col min="1" max="1" width="17" customWidth="1"/>
    <col min="2" max="2" width="14" customWidth="1"/>
    <col min="3" max="3" width="19.85546875" customWidth="1"/>
    <col min="4" max="4" width="15.42578125" customWidth="1"/>
    <col min="5" max="5" width="20" customWidth="1"/>
    <col min="8" max="8" width="23.85546875" customWidth="1"/>
    <col min="9" max="9" width="17" customWidth="1"/>
    <col min="11" max="11" width="32.5703125" customWidth="1"/>
    <col min="12" max="12" width="26.85546875" customWidth="1"/>
  </cols>
  <sheetData>
    <row r="3" spans="1:1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H3" s="2" t="s">
        <v>5</v>
      </c>
      <c r="I3" s="3"/>
      <c r="K3" s="2" t="s">
        <v>6</v>
      </c>
      <c r="L3" s="3"/>
    </row>
    <row r="4" spans="1:12">
      <c r="A4" t="s">
        <v>7</v>
      </c>
      <c r="B4">
        <v>25</v>
      </c>
      <c r="C4">
        <v>12000</v>
      </c>
      <c r="D4">
        <v>0</v>
      </c>
      <c r="E4" s="4" t="s">
        <v>8</v>
      </c>
      <c r="H4" s="5" t="s">
        <v>9</v>
      </c>
      <c r="I4" s="6">
        <f>MIN(D4:D23)</f>
        <v>0</v>
      </c>
      <c r="K4" s="5" t="s">
        <v>10</v>
      </c>
      <c r="L4" s="7">
        <f ca="1">NOW()</f>
        <v>46076.958925578707</v>
      </c>
    </row>
    <row r="5" spans="1:12">
      <c r="A5" t="s">
        <v>11</v>
      </c>
      <c r="B5">
        <v>40</v>
      </c>
      <c r="C5">
        <v>18000</v>
      </c>
      <c r="D5">
        <v>5000</v>
      </c>
      <c r="E5" s="4" t="s">
        <v>12</v>
      </c>
      <c r="H5" s="8" t="s">
        <v>13</v>
      </c>
      <c r="I5" s="9">
        <f>MAX(C4:C23)</f>
        <v>25000</v>
      </c>
      <c r="K5" s="8" t="s">
        <v>14</v>
      </c>
      <c r="L5" s="9" t="e">
        <f ca="1">_xludf.DATEDIF</f>
        <v>#NAME?</v>
      </c>
    </row>
    <row r="6" spans="1:12">
      <c r="A6" t="s">
        <v>15</v>
      </c>
      <c r="B6">
        <v>32</v>
      </c>
      <c r="C6">
        <v>15000</v>
      </c>
      <c r="D6">
        <v>0</v>
      </c>
      <c r="E6" s="4" t="s">
        <v>16</v>
      </c>
      <c r="H6" s="5" t="s">
        <v>17</v>
      </c>
      <c r="I6" s="6">
        <f>COUNT(B4:B23)</f>
        <v>20</v>
      </c>
      <c r="K6" s="10" t="s">
        <v>18</v>
      </c>
      <c r="L6" s="11">
        <f ca="1">TODAY()</f>
        <v>46076</v>
      </c>
    </row>
    <row r="7" spans="1:12">
      <c r="A7" t="s">
        <v>19</v>
      </c>
      <c r="B7">
        <v>55</v>
      </c>
      <c r="C7">
        <v>22000</v>
      </c>
      <c r="D7">
        <v>12000</v>
      </c>
      <c r="E7" s="4" t="s">
        <v>8</v>
      </c>
      <c r="H7" s="8" t="s">
        <v>20</v>
      </c>
      <c r="I7" s="9">
        <f>SUM(C4:C23)</f>
        <v>360000</v>
      </c>
    </row>
    <row r="8" spans="1:12">
      <c r="A8" t="s">
        <v>21</v>
      </c>
      <c r="B8">
        <v>29</v>
      </c>
      <c r="C8">
        <v>14000</v>
      </c>
      <c r="D8">
        <v>0</v>
      </c>
      <c r="E8" s="4" t="s">
        <v>12</v>
      </c>
      <c r="H8" s="10" t="s">
        <v>22</v>
      </c>
      <c r="I8" s="12">
        <f>AVERAGE(D4:D23)</f>
        <v>5025</v>
      </c>
      <c r="K8" s="2" t="s">
        <v>23</v>
      </c>
      <c r="L8" s="3"/>
    </row>
    <row r="9" spans="1:12" ht="19.5">
      <c r="A9" t="s">
        <v>24</v>
      </c>
      <c r="B9">
        <v>45</v>
      </c>
      <c r="C9">
        <v>20000</v>
      </c>
      <c r="D9">
        <v>8000</v>
      </c>
      <c r="E9" s="4" t="s">
        <v>16</v>
      </c>
      <c r="H9" s="13"/>
      <c r="K9" s="5" t="s">
        <v>25</v>
      </c>
      <c r="L9" s="14">
        <f>PMT(10%,5,-AVERAGE(D4:D23))</f>
        <v>1325.5823409935956</v>
      </c>
    </row>
    <row r="10" spans="1:12">
      <c r="A10" t="s">
        <v>26</v>
      </c>
      <c r="B10">
        <v>38</v>
      </c>
      <c r="C10">
        <v>17000</v>
      </c>
      <c r="D10">
        <v>0</v>
      </c>
      <c r="E10" s="4" t="s">
        <v>8</v>
      </c>
      <c r="H10" s="2" t="s">
        <v>27</v>
      </c>
      <c r="I10" s="3"/>
      <c r="K10" s="15" t="s">
        <v>28</v>
      </c>
      <c r="L10" s="16">
        <f>NPV(10%,C4:C23)-SUM(D4:D23)</f>
        <v>48530.922110957617</v>
      </c>
    </row>
    <row r="11" spans="1:12">
      <c r="A11" t="s">
        <v>29</v>
      </c>
      <c r="B11">
        <v>60</v>
      </c>
      <c r="C11">
        <v>25000</v>
      </c>
      <c r="D11">
        <v>15000</v>
      </c>
      <c r="E11" s="4" t="s">
        <v>12</v>
      </c>
      <c r="H11" s="5" t="s">
        <v>30</v>
      </c>
      <c r="I11" s="19" t="str">
        <f>IF(D4&gt; 25000,"Maximum","Minimum" )</f>
        <v>Minimum</v>
      </c>
      <c r="K11" s="17"/>
    </row>
    <row r="12" spans="1:12">
      <c r="A12" t="s">
        <v>31</v>
      </c>
      <c r="B12">
        <v>27</v>
      </c>
      <c r="C12">
        <v>13000</v>
      </c>
      <c r="D12">
        <v>0</v>
      </c>
      <c r="E12" s="4" t="s">
        <v>16</v>
      </c>
      <c r="H12" s="8" t="s">
        <v>32</v>
      </c>
      <c r="I12" s="9" t="b">
        <f>AND(C4&gt;20000,C6&lt;20000)</f>
        <v>0</v>
      </c>
      <c r="K12" s="2" t="s">
        <v>33</v>
      </c>
      <c r="L12" s="3"/>
    </row>
    <row r="13" spans="1:12">
      <c r="A13" t="s">
        <v>34</v>
      </c>
      <c r="B13">
        <v>50</v>
      </c>
      <c r="C13">
        <v>21000</v>
      </c>
      <c r="D13">
        <v>10000</v>
      </c>
      <c r="E13" s="4" t="s">
        <v>8</v>
      </c>
      <c r="H13" s="10" t="s">
        <v>35</v>
      </c>
      <c r="I13" s="12" t="b">
        <f>OR( D4&gt;20000,D6&lt;20000)</f>
        <v>1</v>
      </c>
      <c r="K13" s="5" t="s">
        <v>36</v>
      </c>
      <c r="L13" s="6">
        <f>AVERAGE(C4:C23)</f>
        <v>18000</v>
      </c>
    </row>
    <row r="14" spans="1:12">
      <c r="A14" t="s">
        <v>37</v>
      </c>
      <c r="B14">
        <v>34</v>
      </c>
      <c r="C14">
        <v>16000</v>
      </c>
      <c r="D14">
        <v>0</v>
      </c>
      <c r="E14" s="4" t="s">
        <v>12</v>
      </c>
      <c r="H14" s="17"/>
      <c r="K14" s="8" t="s">
        <v>38</v>
      </c>
      <c r="L14" s="9">
        <f>MODE(B4:B23)</f>
        <v>30</v>
      </c>
    </row>
    <row r="15" spans="1:12">
      <c r="A15" t="s">
        <v>39</v>
      </c>
      <c r="B15">
        <v>48</v>
      </c>
      <c r="C15">
        <v>19500</v>
      </c>
      <c r="D15">
        <v>9000</v>
      </c>
      <c r="E15" s="4" t="s">
        <v>16</v>
      </c>
      <c r="H15" s="17"/>
      <c r="K15" s="5" t="s">
        <v>40</v>
      </c>
      <c r="L15" s="6">
        <f>MEDIAN(D3:D23)</f>
        <v>2500</v>
      </c>
    </row>
    <row r="16" spans="1:12">
      <c r="A16" t="s">
        <v>41</v>
      </c>
      <c r="B16">
        <v>30</v>
      </c>
      <c r="C16">
        <v>14500</v>
      </c>
      <c r="D16">
        <v>0</v>
      </c>
      <c r="E16" s="4" t="s">
        <v>8</v>
      </c>
      <c r="H16" s="2" t="s">
        <v>42</v>
      </c>
      <c r="I16" s="3"/>
      <c r="K16" s="8" t="s">
        <v>43</v>
      </c>
      <c r="L16" s="9">
        <f>_xlfn.STDEV.S(D4:D23)</f>
        <v>5573.6102822988414</v>
      </c>
    </row>
    <row r="17" spans="1:12">
      <c r="A17" t="s">
        <v>44</v>
      </c>
      <c r="B17">
        <v>52</v>
      </c>
      <c r="C17">
        <v>23000</v>
      </c>
      <c r="D17">
        <v>11000</v>
      </c>
      <c r="E17" s="4" t="s">
        <v>12</v>
      </c>
      <c r="H17" s="5" t="s">
        <v>45</v>
      </c>
      <c r="I17" s="6" t="str">
        <f>LEFT(C8,3)</f>
        <v>140</v>
      </c>
      <c r="K17" s="5" t="s">
        <v>46</v>
      </c>
      <c r="L17" s="6">
        <f>CORREL(D4:D23,C4:C23)</f>
        <v>0.94280417087021862</v>
      </c>
    </row>
    <row r="18" spans="1:12">
      <c r="A18" t="s">
        <v>47</v>
      </c>
      <c r="B18">
        <v>36</v>
      </c>
      <c r="C18">
        <v>17500</v>
      </c>
      <c r="D18">
        <v>0</v>
      </c>
      <c r="E18" s="4" t="s">
        <v>16</v>
      </c>
      <c r="H18" s="8" t="s">
        <v>48</v>
      </c>
      <c r="I18" s="9" t="str">
        <f>RIGHT(C11,4)</f>
        <v>5000</v>
      </c>
      <c r="K18" s="15"/>
      <c r="L18" s="18"/>
    </row>
    <row r="19" spans="1:12">
      <c r="A19" t="s">
        <v>49</v>
      </c>
      <c r="B19">
        <v>42</v>
      </c>
      <c r="C19">
        <v>19000</v>
      </c>
      <c r="D19">
        <v>7000</v>
      </c>
      <c r="E19" s="4" t="s">
        <v>8</v>
      </c>
      <c r="H19" s="5" t="s">
        <v>50</v>
      </c>
      <c r="I19" s="6" t="str">
        <f>MID(B9,2,3)</f>
        <v>5</v>
      </c>
    </row>
    <row r="20" spans="1:12">
      <c r="A20" t="s">
        <v>51</v>
      </c>
      <c r="B20">
        <v>28</v>
      </c>
      <c r="C20">
        <v>13500</v>
      </c>
      <c r="D20">
        <v>0</v>
      </c>
      <c r="E20" s="4" t="s">
        <v>12</v>
      </c>
      <c r="H20" s="15" t="s">
        <v>52</v>
      </c>
      <c r="I20" s="18" t="str">
        <f>_xlfn.CONCAT(B18,"_",C18)</f>
        <v>36_17500</v>
      </c>
      <c r="K20" s="2" t="s">
        <v>53</v>
      </c>
      <c r="L20" s="3"/>
    </row>
    <row r="21" spans="1:12">
      <c r="A21" t="s">
        <v>54</v>
      </c>
      <c r="B21">
        <v>58</v>
      </c>
      <c r="C21">
        <v>24000</v>
      </c>
      <c r="D21">
        <v>14000</v>
      </c>
      <c r="E21" s="4" t="s">
        <v>16</v>
      </c>
      <c r="K21" s="5" t="s">
        <v>55</v>
      </c>
      <c r="L21" s="6">
        <f>VLOOKUP(A4, A3:E23,3, FALSE)</f>
        <v>12000</v>
      </c>
    </row>
    <row r="22" spans="1:12">
      <c r="A22" t="s">
        <v>56</v>
      </c>
      <c r="B22">
        <v>30</v>
      </c>
      <c r="C22">
        <v>15500</v>
      </c>
      <c r="D22">
        <v>0</v>
      </c>
      <c r="E22" s="4" t="s">
        <v>8</v>
      </c>
      <c r="H22" s="20"/>
      <c r="K22" s="8" t="s">
        <v>57</v>
      </c>
      <c r="L22" s="9">
        <f>HLOOKUP(B4,A4:E23,3,FALSE)</f>
        <v>32</v>
      </c>
    </row>
    <row r="23" spans="1:12">
      <c r="A23" t="s">
        <v>58</v>
      </c>
      <c r="B23">
        <v>47</v>
      </c>
      <c r="C23">
        <v>20500</v>
      </c>
      <c r="D23">
        <v>9500</v>
      </c>
      <c r="E23" s="4" t="s">
        <v>12</v>
      </c>
      <c r="H23" s="20"/>
      <c r="I23" s="21"/>
      <c r="K23" s="10" t="s">
        <v>59</v>
      </c>
      <c r="L23" s="12"/>
    </row>
    <row r="26" spans="1:12">
      <c r="A26" s="24" t="s">
        <v>60</v>
      </c>
      <c r="H26" t="s">
        <v>61</v>
      </c>
    </row>
    <row r="27" spans="1:12">
      <c r="A27" s="22" t="s">
        <v>0</v>
      </c>
      <c r="B27" s="22" t="s">
        <v>4</v>
      </c>
      <c r="C27" t="s">
        <v>62</v>
      </c>
      <c r="D27" t="s">
        <v>63</v>
      </c>
      <c r="E27" t="s">
        <v>64</v>
      </c>
    </row>
    <row r="28" spans="1:12">
      <c r="A28" t="s">
        <v>7</v>
      </c>
      <c r="B28" t="s">
        <v>8</v>
      </c>
      <c r="C28" s="23">
        <v>25</v>
      </c>
      <c r="D28" s="23">
        <v>12000</v>
      </c>
      <c r="E28" s="23">
        <v>0</v>
      </c>
    </row>
    <row r="29" spans="1:12">
      <c r="A29" t="s">
        <v>65</v>
      </c>
      <c r="C29" s="23">
        <v>25</v>
      </c>
      <c r="D29" s="23">
        <v>12000</v>
      </c>
      <c r="E29" s="23">
        <v>0</v>
      </c>
    </row>
    <row r="30" spans="1:12">
      <c r="A30" t="s">
        <v>11</v>
      </c>
      <c r="B30" t="s">
        <v>12</v>
      </c>
      <c r="C30" s="23">
        <v>40</v>
      </c>
      <c r="D30" s="23">
        <v>18000</v>
      </c>
      <c r="E30" s="23">
        <v>5000</v>
      </c>
    </row>
    <row r="31" spans="1:12">
      <c r="A31" t="s">
        <v>66</v>
      </c>
      <c r="C31" s="23">
        <v>40</v>
      </c>
      <c r="D31" s="23">
        <v>18000</v>
      </c>
      <c r="E31" s="23">
        <v>5000</v>
      </c>
    </row>
    <row r="32" spans="1:12">
      <c r="A32" t="s">
        <v>15</v>
      </c>
      <c r="B32" t="s">
        <v>16</v>
      </c>
      <c r="C32" s="23">
        <v>32</v>
      </c>
      <c r="D32" s="23">
        <v>15000</v>
      </c>
      <c r="E32" s="23">
        <v>0</v>
      </c>
    </row>
    <row r="33" spans="1:5">
      <c r="A33" t="s">
        <v>67</v>
      </c>
      <c r="C33" s="23">
        <v>32</v>
      </c>
      <c r="D33" s="23">
        <v>15000</v>
      </c>
      <c r="E33" s="23">
        <v>0</v>
      </c>
    </row>
    <row r="34" spans="1:5">
      <c r="A34" t="s">
        <v>19</v>
      </c>
      <c r="B34" t="s">
        <v>8</v>
      </c>
      <c r="C34" s="23">
        <v>55</v>
      </c>
      <c r="D34" s="23">
        <v>22000</v>
      </c>
      <c r="E34" s="23">
        <v>12000</v>
      </c>
    </row>
    <row r="35" spans="1:5">
      <c r="A35" t="s">
        <v>68</v>
      </c>
      <c r="C35" s="23">
        <v>55</v>
      </c>
      <c r="D35" s="23">
        <v>22000</v>
      </c>
      <c r="E35" s="23">
        <v>12000</v>
      </c>
    </row>
    <row r="36" spans="1:5">
      <c r="A36" t="s">
        <v>21</v>
      </c>
      <c r="B36" t="s">
        <v>12</v>
      </c>
      <c r="C36" s="23">
        <v>29</v>
      </c>
      <c r="D36" s="23">
        <v>14000</v>
      </c>
      <c r="E36" s="23">
        <v>0</v>
      </c>
    </row>
    <row r="37" spans="1:5">
      <c r="A37" t="s">
        <v>69</v>
      </c>
      <c r="C37" s="23">
        <v>29</v>
      </c>
      <c r="D37" s="23">
        <v>14000</v>
      </c>
      <c r="E37" s="23">
        <v>0</v>
      </c>
    </row>
    <row r="38" spans="1:5">
      <c r="A38" t="s">
        <v>24</v>
      </c>
      <c r="B38" t="s">
        <v>16</v>
      </c>
      <c r="C38" s="23">
        <v>45</v>
      </c>
      <c r="D38" s="23">
        <v>20000</v>
      </c>
      <c r="E38" s="23">
        <v>8000</v>
      </c>
    </row>
    <row r="39" spans="1:5">
      <c r="A39" t="s">
        <v>70</v>
      </c>
      <c r="C39" s="23">
        <v>45</v>
      </c>
      <c r="D39" s="23">
        <v>20000</v>
      </c>
      <c r="E39" s="23">
        <v>8000</v>
      </c>
    </row>
    <row r="40" spans="1:5">
      <c r="A40" t="s">
        <v>26</v>
      </c>
      <c r="B40" t="s">
        <v>8</v>
      </c>
      <c r="C40" s="23">
        <v>38</v>
      </c>
      <c r="D40" s="23">
        <v>17000</v>
      </c>
      <c r="E40" s="23">
        <v>0</v>
      </c>
    </row>
    <row r="41" spans="1:5">
      <c r="A41" t="s">
        <v>71</v>
      </c>
      <c r="C41" s="23">
        <v>38</v>
      </c>
      <c r="D41" s="23">
        <v>17000</v>
      </c>
      <c r="E41" s="23">
        <v>0</v>
      </c>
    </row>
    <row r="42" spans="1:5">
      <c r="A42" t="s">
        <v>29</v>
      </c>
      <c r="B42" t="s">
        <v>12</v>
      </c>
      <c r="C42" s="23">
        <v>60</v>
      </c>
      <c r="D42" s="23">
        <v>25000</v>
      </c>
      <c r="E42" s="23">
        <v>15000</v>
      </c>
    </row>
    <row r="43" spans="1:5">
      <c r="A43" t="s">
        <v>72</v>
      </c>
      <c r="C43" s="23">
        <v>60</v>
      </c>
      <c r="D43" s="23">
        <v>25000</v>
      </c>
      <c r="E43" s="23">
        <v>15000</v>
      </c>
    </row>
    <row r="44" spans="1:5">
      <c r="A44" t="s">
        <v>31</v>
      </c>
      <c r="B44" t="s">
        <v>16</v>
      </c>
      <c r="C44" s="23">
        <v>27</v>
      </c>
      <c r="D44" s="23">
        <v>13000</v>
      </c>
      <c r="E44" s="23">
        <v>0</v>
      </c>
    </row>
    <row r="45" spans="1:5">
      <c r="A45" t="s">
        <v>73</v>
      </c>
      <c r="C45" s="23">
        <v>27</v>
      </c>
      <c r="D45" s="23">
        <v>13000</v>
      </c>
      <c r="E45" s="23">
        <v>0</v>
      </c>
    </row>
    <row r="46" spans="1:5">
      <c r="A46" t="s">
        <v>34</v>
      </c>
      <c r="B46" t="s">
        <v>8</v>
      </c>
      <c r="C46" s="23">
        <v>50</v>
      </c>
      <c r="D46" s="23">
        <v>21000</v>
      </c>
      <c r="E46" s="23">
        <v>10000</v>
      </c>
    </row>
    <row r="47" spans="1:5">
      <c r="A47" t="s">
        <v>74</v>
      </c>
      <c r="C47" s="23">
        <v>50</v>
      </c>
      <c r="D47" s="23">
        <v>21000</v>
      </c>
      <c r="E47" s="23">
        <v>10000</v>
      </c>
    </row>
    <row r="48" spans="1:5">
      <c r="A48" t="s">
        <v>37</v>
      </c>
      <c r="B48" t="s">
        <v>12</v>
      </c>
      <c r="C48" s="23">
        <v>34</v>
      </c>
      <c r="D48" s="23">
        <v>16000</v>
      </c>
      <c r="E48" s="23">
        <v>0</v>
      </c>
    </row>
    <row r="49" spans="1:5">
      <c r="A49" t="s">
        <v>75</v>
      </c>
      <c r="C49" s="23">
        <v>34</v>
      </c>
      <c r="D49" s="23">
        <v>16000</v>
      </c>
      <c r="E49" s="23">
        <v>0</v>
      </c>
    </row>
    <row r="50" spans="1:5">
      <c r="A50" t="s">
        <v>39</v>
      </c>
      <c r="B50" t="s">
        <v>16</v>
      </c>
      <c r="C50" s="23">
        <v>48</v>
      </c>
      <c r="D50" s="23">
        <v>19500</v>
      </c>
      <c r="E50" s="23">
        <v>9000</v>
      </c>
    </row>
    <row r="51" spans="1:5">
      <c r="A51" t="s">
        <v>76</v>
      </c>
      <c r="C51" s="23">
        <v>48</v>
      </c>
      <c r="D51" s="23">
        <v>19500</v>
      </c>
      <c r="E51" s="23">
        <v>9000</v>
      </c>
    </row>
    <row r="52" spans="1:5">
      <c r="A52" t="s">
        <v>41</v>
      </c>
      <c r="B52" t="s">
        <v>8</v>
      </c>
      <c r="C52" s="23">
        <v>30</v>
      </c>
      <c r="D52" s="23">
        <v>14500</v>
      </c>
      <c r="E52" s="23">
        <v>0</v>
      </c>
    </row>
    <row r="53" spans="1:5">
      <c r="A53" t="s">
        <v>77</v>
      </c>
      <c r="C53" s="23">
        <v>30</v>
      </c>
      <c r="D53" s="23">
        <v>14500</v>
      </c>
      <c r="E53" s="23">
        <v>0</v>
      </c>
    </row>
    <row r="54" spans="1:5">
      <c r="A54" t="s">
        <v>44</v>
      </c>
      <c r="B54" t="s">
        <v>12</v>
      </c>
      <c r="C54" s="23">
        <v>52</v>
      </c>
      <c r="D54" s="23">
        <v>23000</v>
      </c>
      <c r="E54" s="23">
        <v>11000</v>
      </c>
    </row>
    <row r="55" spans="1:5">
      <c r="A55" t="s">
        <v>78</v>
      </c>
      <c r="C55" s="23">
        <v>52</v>
      </c>
      <c r="D55" s="23">
        <v>23000</v>
      </c>
      <c r="E55" s="23">
        <v>11000</v>
      </c>
    </row>
    <row r="56" spans="1:5">
      <c r="A56" t="s">
        <v>47</v>
      </c>
      <c r="B56" t="s">
        <v>16</v>
      </c>
      <c r="C56" s="23">
        <v>36</v>
      </c>
      <c r="D56" s="23">
        <v>17500</v>
      </c>
      <c r="E56" s="23">
        <v>0</v>
      </c>
    </row>
    <row r="57" spans="1:5">
      <c r="A57" t="s">
        <v>79</v>
      </c>
      <c r="C57" s="23">
        <v>36</v>
      </c>
      <c r="D57" s="23">
        <v>17500</v>
      </c>
      <c r="E57" s="23">
        <v>0</v>
      </c>
    </row>
    <row r="58" spans="1:5">
      <c r="A58" t="s">
        <v>49</v>
      </c>
      <c r="B58" t="s">
        <v>8</v>
      </c>
      <c r="C58" s="23">
        <v>42</v>
      </c>
      <c r="D58" s="23">
        <v>19000</v>
      </c>
      <c r="E58" s="23">
        <v>7000</v>
      </c>
    </row>
    <row r="59" spans="1:5">
      <c r="A59" t="s">
        <v>80</v>
      </c>
      <c r="C59" s="23">
        <v>42</v>
      </c>
      <c r="D59" s="23">
        <v>19000</v>
      </c>
      <c r="E59" s="23">
        <v>7000</v>
      </c>
    </row>
    <row r="60" spans="1:5">
      <c r="A60" t="s">
        <v>51</v>
      </c>
      <c r="B60" t="s">
        <v>12</v>
      </c>
      <c r="C60" s="23">
        <v>28</v>
      </c>
      <c r="D60" s="23">
        <v>13500</v>
      </c>
      <c r="E60" s="23">
        <v>0</v>
      </c>
    </row>
    <row r="61" spans="1:5">
      <c r="A61" t="s">
        <v>81</v>
      </c>
      <c r="C61" s="23">
        <v>28</v>
      </c>
      <c r="D61" s="23">
        <v>13500</v>
      </c>
      <c r="E61" s="23">
        <v>0</v>
      </c>
    </row>
    <row r="62" spans="1:5">
      <c r="A62" t="s">
        <v>54</v>
      </c>
      <c r="B62" t="s">
        <v>16</v>
      </c>
      <c r="C62" s="23">
        <v>58</v>
      </c>
      <c r="D62" s="23">
        <v>24000</v>
      </c>
      <c r="E62" s="23">
        <v>14000</v>
      </c>
    </row>
    <row r="63" spans="1:5">
      <c r="A63" t="s">
        <v>82</v>
      </c>
      <c r="C63" s="23">
        <v>58</v>
      </c>
      <c r="D63" s="23">
        <v>24000</v>
      </c>
      <c r="E63" s="23">
        <v>14000</v>
      </c>
    </row>
    <row r="64" spans="1:5">
      <c r="A64" t="s">
        <v>56</v>
      </c>
      <c r="B64" t="s">
        <v>8</v>
      </c>
      <c r="C64" s="23">
        <v>30</v>
      </c>
      <c r="D64" s="23">
        <v>15500</v>
      </c>
      <c r="E64" s="23">
        <v>0</v>
      </c>
    </row>
    <row r="65" spans="1:5">
      <c r="A65" t="s">
        <v>83</v>
      </c>
      <c r="C65" s="23">
        <v>30</v>
      </c>
      <c r="D65" s="23">
        <v>15500</v>
      </c>
      <c r="E65" s="23">
        <v>0</v>
      </c>
    </row>
    <row r="66" spans="1:5">
      <c r="A66" t="s">
        <v>58</v>
      </c>
      <c r="B66" t="s">
        <v>12</v>
      </c>
      <c r="C66" s="23">
        <v>47</v>
      </c>
      <c r="D66" s="23">
        <v>20500</v>
      </c>
      <c r="E66" s="23">
        <v>9500</v>
      </c>
    </row>
    <row r="67" spans="1:5">
      <c r="A67" t="s">
        <v>84</v>
      </c>
      <c r="C67" s="23">
        <v>47</v>
      </c>
      <c r="D67" s="23">
        <v>20500</v>
      </c>
      <c r="E67" s="23">
        <v>9500</v>
      </c>
    </row>
    <row r="68" spans="1:5">
      <c r="A68" t="s">
        <v>85</v>
      </c>
      <c r="C68" s="23">
        <v>806</v>
      </c>
      <c r="D68" s="23">
        <v>360000</v>
      </c>
      <c r="E68" s="23">
        <v>100500</v>
      </c>
    </row>
  </sheetData>
  <mergeCells count="7">
    <mergeCell ref="K20:L20"/>
    <mergeCell ref="H3:I3"/>
    <mergeCell ref="K3:L3"/>
    <mergeCell ref="K8:L8"/>
    <mergeCell ref="H10:I10"/>
    <mergeCell ref="K12:L12"/>
    <mergeCell ref="H16:I16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2026-02-23T17:22:04Z</dcterms:created>
  <dcterms:modified xsi:type="dcterms:W3CDTF">2026-02-23T17:49:08Z</dcterms:modified>
  <cp:category/>
  <cp:contentStatus/>
</cp:coreProperties>
</file>