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hidePivotFieldList="1"/>
  <xr:revisionPtr revIDLastSave="0" documentId="8_{E5BA1793-AE1C-4BAD-B976-A54E2032CF8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R" sheetId="1" r:id="rId1"/>
  </sheets>
  <calcPr calcId="191028"/>
  <pivotCaches>
    <pivotCache cacheId="2758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3" i="1" l="1"/>
  <c r="L22" i="1"/>
  <c r="I21" i="1"/>
  <c r="I20" i="1"/>
  <c r="I19" i="1"/>
  <c r="L18" i="1"/>
  <c r="I18" i="1"/>
  <c r="L17" i="1"/>
  <c r="L16" i="1"/>
  <c r="L15" i="1"/>
  <c r="L14" i="1"/>
  <c r="I14" i="1"/>
  <c r="I13" i="1"/>
  <c r="I12" i="1"/>
  <c r="L11" i="1"/>
  <c r="L10" i="1"/>
  <c r="I9" i="1"/>
  <c r="I8" i="1"/>
  <c r="I7" i="1"/>
  <c r="I6" i="1"/>
  <c r="L5" i="1"/>
  <c r="I5" i="1"/>
  <c r="L4" i="1"/>
  <c r="I4" i="1"/>
</calcChain>
</file>

<file path=xl/sharedStrings.xml><?xml version="1.0" encoding="utf-8"?>
<sst xmlns="http://schemas.openxmlformats.org/spreadsheetml/2006/main" count="207" uniqueCount="96">
  <si>
    <t>Column1</t>
  </si>
  <si>
    <t>Employee ID</t>
  </si>
  <si>
    <t>Department</t>
  </si>
  <si>
    <t>Salary</t>
  </si>
  <si>
    <t>Experience</t>
  </si>
  <si>
    <t>Attrition</t>
  </si>
  <si>
    <t>Mathematical Functions</t>
  </si>
  <si>
    <t>Date Functions</t>
  </si>
  <si>
    <t>HR001</t>
  </si>
  <si>
    <t>HR</t>
  </si>
  <si>
    <t>No</t>
  </si>
  <si>
    <t xml:space="preserve">Total experience= </t>
  </si>
  <si>
    <t>Today =</t>
  </si>
  <si>
    <t>HR002</t>
  </si>
  <si>
    <t>Finance</t>
  </si>
  <si>
    <t>Minimumexperience =</t>
  </si>
  <si>
    <t>Now =</t>
  </si>
  <si>
    <t>HR003</t>
  </si>
  <si>
    <t>Marketing</t>
  </si>
  <si>
    <t>Yes</t>
  </si>
  <si>
    <t>Maximum salary=</t>
  </si>
  <si>
    <t>DateDif (of start to end )=</t>
  </si>
  <si>
    <t>HR004</t>
  </si>
  <si>
    <t>IT</t>
  </si>
  <si>
    <t>Count  =</t>
  </si>
  <si>
    <t>HR005</t>
  </si>
  <si>
    <t>Sales</t>
  </si>
  <si>
    <t xml:space="preserve">Total salary  </t>
  </si>
  <si>
    <t>HR006</t>
  </si>
  <si>
    <t>Average experience =</t>
  </si>
  <si>
    <t>Financial Functions</t>
  </si>
  <si>
    <t>HR007</t>
  </si>
  <si>
    <t>PMT</t>
  </si>
  <si>
    <t>HR008</t>
  </si>
  <si>
    <t>Logical Functions</t>
  </si>
  <si>
    <t>NPV</t>
  </si>
  <si>
    <t>HR009</t>
  </si>
  <si>
    <t xml:space="preserve">If( max  ) = </t>
  </si>
  <si>
    <t>HR010</t>
  </si>
  <si>
    <t>And (true or false) =</t>
  </si>
  <si>
    <t>Statistical Functions</t>
  </si>
  <si>
    <t>HR011</t>
  </si>
  <si>
    <t>Or (true or false) =</t>
  </si>
  <si>
    <t>Mean salary =</t>
  </si>
  <si>
    <t>HR012</t>
  </si>
  <si>
    <t>Mode( in experience) =</t>
  </si>
  <si>
    <t>HR013</t>
  </si>
  <si>
    <t>Median experience =</t>
  </si>
  <si>
    <t>HR014</t>
  </si>
  <si>
    <t>Text Functions</t>
  </si>
  <si>
    <t>Standard Deviation( salary ) =</t>
  </si>
  <si>
    <t>HR015</t>
  </si>
  <si>
    <t>Left(3,d8) =</t>
  </si>
  <si>
    <t>Correlation between salary and experience =</t>
  </si>
  <si>
    <t>HR016</t>
  </si>
  <si>
    <t>Right(4,d11) =</t>
  </si>
  <si>
    <t>HR017</t>
  </si>
  <si>
    <t>Mid(2,3,c9) =</t>
  </si>
  <si>
    <t>HR018</t>
  </si>
  <si>
    <t>Concat(c18+d18) =</t>
  </si>
  <si>
    <t>Lookup Functions</t>
  </si>
  <si>
    <t>HR019</t>
  </si>
  <si>
    <t>Vlookup</t>
  </si>
  <si>
    <t>HR020</t>
  </si>
  <si>
    <t>Hlookup</t>
  </si>
  <si>
    <t>Xlookup</t>
  </si>
  <si>
    <t>PIVOT TABLE</t>
  </si>
  <si>
    <t>Sum of Salary</t>
  </si>
  <si>
    <t>Sum of Experience</t>
  </si>
  <si>
    <t>PIVOT CHART</t>
  </si>
  <si>
    <t>HR Total</t>
  </si>
  <si>
    <t>HR001 Total</t>
  </si>
  <si>
    <t>Finance Total</t>
  </si>
  <si>
    <t>HR002 Total</t>
  </si>
  <si>
    <t>Marketing Total</t>
  </si>
  <si>
    <t>HR003 Total</t>
  </si>
  <si>
    <t>IT Total</t>
  </si>
  <si>
    <t>HR004 Total</t>
  </si>
  <si>
    <t>Sales Total</t>
  </si>
  <si>
    <t>HR005 Total</t>
  </si>
  <si>
    <t>HR006 Total</t>
  </si>
  <si>
    <t>HR007 Total</t>
  </si>
  <si>
    <t>HR008 Total</t>
  </si>
  <si>
    <t>HR009 Total</t>
  </si>
  <si>
    <t>HR010 Total</t>
  </si>
  <si>
    <t>HR011 Total</t>
  </si>
  <si>
    <t>HR012 Total</t>
  </si>
  <si>
    <t>HR013 Total</t>
  </si>
  <si>
    <t>HR014 Total</t>
  </si>
  <si>
    <t>HR015 Total</t>
  </si>
  <si>
    <t>HR016 Total</t>
  </si>
  <si>
    <t>HR017 Total</t>
  </si>
  <si>
    <t>HR018 Total</t>
  </si>
  <si>
    <t>HR019 Total</t>
  </si>
  <si>
    <t>HR020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</si>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</sst>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;[Red]&quot;₹&quot;\ \-#,##0.00"/>
  </numFmts>
  <fonts count="6">
    <font>
      <sz val="11"/>
      <color theme="1"/>
      <name val="Aptos Narrow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6"/>
      <color theme="1"/>
      <name val="Agency FB"/>
      <family val="2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0" xfId="0" applyFill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4" fillId="3" borderId="6" xfId="0" applyFont="1" applyFill="1" applyBorder="1"/>
    <xf numFmtId="0" fontId="4" fillId="3" borderId="7" xfId="0" applyFont="1" applyFill="1" applyBorder="1"/>
    <xf numFmtId="0" fontId="4" fillId="3" borderId="8" xfId="0" applyFont="1" applyFill="1" applyBorder="1"/>
    <xf numFmtId="0" fontId="4" fillId="3" borderId="11" xfId="0" applyFont="1" applyFill="1" applyBorder="1"/>
    <xf numFmtId="0" fontId="4" fillId="3" borderId="12" xfId="0" applyFont="1" applyFill="1" applyBorder="1"/>
    <xf numFmtId="0" fontId="4" fillId="3" borderId="13" xfId="0" applyFont="1" applyFill="1" applyBorder="1"/>
    <xf numFmtId="0" fontId="4" fillId="3" borderId="18" xfId="0" applyFont="1" applyFill="1" applyBorder="1"/>
    <xf numFmtId="0" fontId="4" fillId="3" borderId="19" xfId="0" applyFont="1" applyFill="1" applyBorder="1"/>
    <xf numFmtId="0" fontId="4" fillId="3" borderId="20" xfId="0" applyFont="1" applyFill="1" applyBorder="1"/>
    <xf numFmtId="0" fontId="5" fillId="3" borderId="9" xfId="0" applyFont="1" applyFill="1" applyBorder="1"/>
    <xf numFmtId="0" fontId="5" fillId="3" borderId="10" xfId="0" applyFont="1" applyFill="1" applyBorder="1"/>
    <xf numFmtId="0" fontId="5" fillId="3" borderId="14" xfId="0" applyFont="1" applyFill="1" applyBorder="1"/>
    <xf numFmtId="0" fontId="5" fillId="3" borderId="15" xfId="0" applyFont="1" applyFill="1" applyBorder="1"/>
    <xf numFmtId="0" fontId="5" fillId="3" borderId="16" xfId="0" applyFont="1" applyFill="1" applyBorder="1"/>
    <xf numFmtId="0" fontId="5" fillId="3" borderId="17" xfId="0" applyFont="1" applyFill="1" applyBorder="1"/>
    <xf numFmtId="14" fontId="5" fillId="3" borderId="10" xfId="0" applyNumberFormat="1" applyFont="1" applyFill="1" applyBorder="1"/>
    <xf numFmtId="22" fontId="5" fillId="3" borderId="15" xfId="0" applyNumberFormat="1" applyFont="1" applyFill="1" applyBorder="1"/>
    <xf numFmtId="164" fontId="5" fillId="3" borderId="10" xfId="0" applyNumberFormat="1" applyFont="1" applyFill="1" applyBorder="1"/>
    <xf numFmtId="164" fontId="5" fillId="3" borderId="15" xfId="0" applyNumberFormat="1" applyFont="1" applyFill="1" applyBorder="1"/>
    <xf numFmtId="0" fontId="5" fillId="3" borderId="15" xfId="0" applyFont="1" applyFill="1" applyBorder="1" applyAlignment="1">
      <alignment horizontal="right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11">
    <dxf>
      <font>
        <color rgb="FF000000"/>
      </font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color rgb="FF000000"/>
      </font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000000"/>
      </font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000000"/>
      </font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000000"/>
      </font>
      <fill>
        <patternFill patternType="solid">
          <fgColor indexed="64"/>
          <bgColor theme="0" tint="-4.9989318521683403E-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color rgb="FF000000"/>
      </font>
      <fill>
        <patternFill patternType="solid">
          <fgColor indexed="64"/>
          <bgColor theme="0" tint="-4.9989318521683403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8" tint="-0.49998474074526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8" tint="-0.499984740745262"/>
        </patternFill>
      </fill>
    </dxf>
    <dxf>
      <fill>
        <patternFill patternType="solid">
          <fgColor indexed="64"/>
          <bgColor theme="8" tint="-0.49998474074526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[MapAssignment.5.xlsx]HR!PivotTable1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DATASET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HR!$D$27</c:f>
              <c:strCache>
                <c:ptCount val="1"/>
                <c:pt idx="0">
                  <c:v>Sum of 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HR!$A$28:$C$88</c:f>
              <c:multiLvlStrCache>
                <c:ptCount val="20"/>
                <c:lvl>
                  <c:pt idx="0">
                    <c:v>No</c:v>
                  </c:pt>
                  <c:pt idx="1">
                    <c:v>No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Yes</c:v>
                  </c:pt>
                  <c:pt idx="9">
                    <c:v>No</c:v>
                  </c:pt>
                  <c:pt idx="10">
                    <c:v>No</c:v>
                  </c:pt>
                  <c:pt idx="11">
                    <c:v>Yes</c:v>
                  </c:pt>
                  <c:pt idx="12">
                    <c:v>No</c:v>
                  </c:pt>
                  <c:pt idx="13">
                    <c:v>No</c:v>
                  </c:pt>
                  <c:pt idx="14">
                    <c:v>Yes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</c:lvl>
                <c:lvl>
                  <c:pt idx="0">
                    <c:v>HR</c:v>
                  </c:pt>
                  <c:pt idx="1">
                    <c:v>Finance</c:v>
                  </c:pt>
                  <c:pt idx="2">
                    <c:v>Marketing</c:v>
                  </c:pt>
                  <c:pt idx="3">
                    <c:v>IT</c:v>
                  </c:pt>
                  <c:pt idx="4">
                    <c:v>Sales</c:v>
                  </c:pt>
                  <c:pt idx="5">
                    <c:v>HR</c:v>
                  </c:pt>
                  <c:pt idx="6">
                    <c:v>Finance</c:v>
                  </c:pt>
                  <c:pt idx="7">
                    <c:v>IT</c:v>
                  </c:pt>
                  <c:pt idx="8">
                    <c:v>Marketing</c:v>
                  </c:pt>
                  <c:pt idx="9">
                    <c:v>Sales</c:v>
                  </c:pt>
                  <c:pt idx="10">
                    <c:v>IT</c:v>
                  </c:pt>
                  <c:pt idx="11">
                    <c:v>HR</c:v>
                  </c:pt>
                  <c:pt idx="12">
                    <c:v>Finance</c:v>
                  </c:pt>
                  <c:pt idx="13">
                    <c:v>Marketing</c:v>
                  </c:pt>
                  <c:pt idx="14">
                    <c:v>Sales</c:v>
                  </c:pt>
                  <c:pt idx="15">
                    <c:v>IT</c:v>
                  </c:pt>
                  <c:pt idx="16">
                    <c:v>Finance</c:v>
                  </c:pt>
                  <c:pt idx="17">
                    <c:v>HR</c:v>
                  </c:pt>
                  <c:pt idx="18">
                    <c:v>Marketing</c:v>
                  </c:pt>
                  <c:pt idx="19">
                    <c:v>Sales</c:v>
                  </c:pt>
                </c:lvl>
                <c:lvl>
                  <c:pt idx="0">
                    <c:v>HR001</c:v>
                  </c:pt>
                  <c:pt idx="1">
                    <c:v>HR002</c:v>
                  </c:pt>
                  <c:pt idx="2">
                    <c:v>HR003</c:v>
                  </c:pt>
                  <c:pt idx="3">
                    <c:v>HR004</c:v>
                  </c:pt>
                  <c:pt idx="4">
                    <c:v>HR005</c:v>
                  </c:pt>
                  <c:pt idx="5">
                    <c:v>HR006</c:v>
                  </c:pt>
                  <c:pt idx="6">
                    <c:v>HR007</c:v>
                  </c:pt>
                  <c:pt idx="7">
                    <c:v>HR008</c:v>
                  </c:pt>
                  <c:pt idx="8">
                    <c:v>HR009</c:v>
                  </c:pt>
                  <c:pt idx="9">
                    <c:v>HR010</c:v>
                  </c:pt>
                  <c:pt idx="10">
                    <c:v>HR011</c:v>
                  </c:pt>
                  <c:pt idx="11">
                    <c:v>HR012</c:v>
                  </c:pt>
                  <c:pt idx="12">
                    <c:v>HR013</c:v>
                  </c:pt>
                  <c:pt idx="13">
                    <c:v>HR014</c:v>
                  </c:pt>
                  <c:pt idx="14">
                    <c:v>HR015</c:v>
                  </c:pt>
                  <c:pt idx="15">
                    <c:v>HR016</c:v>
                  </c:pt>
                  <c:pt idx="16">
                    <c:v>HR017</c:v>
                  </c:pt>
                  <c:pt idx="17">
                    <c:v>HR018</c:v>
                  </c:pt>
                  <c:pt idx="18">
                    <c:v>HR019</c:v>
                  </c:pt>
                  <c:pt idx="19">
                    <c:v>HR020</c:v>
                  </c:pt>
                </c:lvl>
              </c:multiLvlStrCache>
            </c:multiLvlStrRef>
          </c:cat>
          <c:val>
            <c:numRef>
              <c:f>HR!$D$28:$D$88</c:f>
              <c:numCache>
                <c:formatCode>General</c:formatCode>
                <c:ptCount val="20"/>
                <c:pt idx="0">
                  <c:v>35000</c:v>
                </c:pt>
                <c:pt idx="1">
                  <c:v>52000</c:v>
                </c:pt>
                <c:pt idx="2">
                  <c:v>48000</c:v>
                </c:pt>
                <c:pt idx="3">
                  <c:v>60000</c:v>
                </c:pt>
                <c:pt idx="4">
                  <c:v>45000</c:v>
                </c:pt>
                <c:pt idx="5">
                  <c:v>37000</c:v>
                </c:pt>
                <c:pt idx="6">
                  <c:v>55000</c:v>
                </c:pt>
                <c:pt idx="7">
                  <c:v>72000</c:v>
                </c:pt>
                <c:pt idx="8">
                  <c:v>50000</c:v>
                </c:pt>
                <c:pt idx="9">
                  <c:v>43000</c:v>
                </c:pt>
                <c:pt idx="10">
                  <c:v>68000</c:v>
                </c:pt>
                <c:pt idx="11">
                  <c:v>39000</c:v>
                </c:pt>
                <c:pt idx="12">
                  <c:v>58000</c:v>
                </c:pt>
                <c:pt idx="13">
                  <c:v>47000</c:v>
                </c:pt>
                <c:pt idx="14">
                  <c:v>41000</c:v>
                </c:pt>
                <c:pt idx="15">
                  <c:v>75000</c:v>
                </c:pt>
                <c:pt idx="16">
                  <c:v>53000</c:v>
                </c:pt>
                <c:pt idx="17">
                  <c:v>36000</c:v>
                </c:pt>
                <c:pt idx="18">
                  <c:v>49000</c:v>
                </c:pt>
                <c:pt idx="19">
                  <c:v>44000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D0-44F9-8588-FD8D31541FC3}"/>
            </c:ext>
          </c:extLst>
        </c:ser>
        <c:ser>
          <c:idx val="1"/>
          <c:order val="1"/>
          <c:tx>
            <c:strRef>
              <c:f>HR!$E$27</c:f>
              <c:strCache>
                <c:ptCount val="1"/>
                <c:pt idx="0">
                  <c:v>Sum of Experience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HR!$A$28:$C$88</c:f>
              <c:multiLvlStrCache>
                <c:ptCount val="20"/>
                <c:lvl>
                  <c:pt idx="0">
                    <c:v>No</c:v>
                  </c:pt>
                  <c:pt idx="1">
                    <c:v>No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Yes</c:v>
                  </c:pt>
                  <c:pt idx="9">
                    <c:v>No</c:v>
                  </c:pt>
                  <c:pt idx="10">
                    <c:v>No</c:v>
                  </c:pt>
                  <c:pt idx="11">
                    <c:v>Yes</c:v>
                  </c:pt>
                  <c:pt idx="12">
                    <c:v>No</c:v>
                  </c:pt>
                  <c:pt idx="13">
                    <c:v>No</c:v>
                  </c:pt>
                  <c:pt idx="14">
                    <c:v>Yes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Yes</c:v>
                  </c:pt>
                  <c:pt idx="18">
                    <c:v>No</c:v>
                  </c:pt>
                  <c:pt idx="19">
                    <c:v>No</c:v>
                  </c:pt>
                </c:lvl>
                <c:lvl>
                  <c:pt idx="0">
                    <c:v>HR</c:v>
                  </c:pt>
                  <c:pt idx="1">
                    <c:v>Finance</c:v>
                  </c:pt>
                  <c:pt idx="2">
                    <c:v>Marketing</c:v>
                  </c:pt>
                  <c:pt idx="3">
                    <c:v>IT</c:v>
                  </c:pt>
                  <c:pt idx="4">
                    <c:v>Sales</c:v>
                  </c:pt>
                  <c:pt idx="5">
                    <c:v>HR</c:v>
                  </c:pt>
                  <c:pt idx="6">
                    <c:v>Finance</c:v>
                  </c:pt>
                  <c:pt idx="7">
                    <c:v>IT</c:v>
                  </c:pt>
                  <c:pt idx="8">
                    <c:v>Marketing</c:v>
                  </c:pt>
                  <c:pt idx="9">
                    <c:v>Sales</c:v>
                  </c:pt>
                  <c:pt idx="10">
                    <c:v>IT</c:v>
                  </c:pt>
                  <c:pt idx="11">
                    <c:v>HR</c:v>
                  </c:pt>
                  <c:pt idx="12">
                    <c:v>Finance</c:v>
                  </c:pt>
                  <c:pt idx="13">
                    <c:v>Marketing</c:v>
                  </c:pt>
                  <c:pt idx="14">
                    <c:v>Sales</c:v>
                  </c:pt>
                  <c:pt idx="15">
                    <c:v>IT</c:v>
                  </c:pt>
                  <c:pt idx="16">
                    <c:v>Finance</c:v>
                  </c:pt>
                  <c:pt idx="17">
                    <c:v>HR</c:v>
                  </c:pt>
                  <c:pt idx="18">
                    <c:v>Marketing</c:v>
                  </c:pt>
                  <c:pt idx="19">
                    <c:v>Sales</c:v>
                  </c:pt>
                </c:lvl>
                <c:lvl>
                  <c:pt idx="0">
                    <c:v>HR001</c:v>
                  </c:pt>
                  <c:pt idx="1">
                    <c:v>HR002</c:v>
                  </c:pt>
                  <c:pt idx="2">
                    <c:v>HR003</c:v>
                  </c:pt>
                  <c:pt idx="3">
                    <c:v>HR004</c:v>
                  </c:pt>
                  <c:pt idx="4">
                    <c:v>HR005</c:v>
                  </c:pt>
                  <c:pt idx="5">
                    <c:v>HR006</c:v>
                  </c:pt>
                  <c:pt idx="6">
                    <c:v>HR007</c:v>
                  </c:pt>
                  <c:pt idx="7">
                    <c:v>HR008</c:v>
                  </c:pt>
                  <c:pt idx="8">
                    <c:v>HR009</c:v>
                  </c:pt>
                  <c:pt idx="9">
                    <c:v>HR010</c:v>
                  </c:pt>
                  <c:pt idx="10">
                    <c:v>HR011</c:v>
                  </c:pt>
                  <c:pt idx="11">
                    <c:v>HR012</c:v>
                  </c:pt>
                  <c:pt idx="12">
                    <c:v>HR013</c:v>
                  </c:pt>
                  <c:pt idx="13">
                    <c:v>HR014</c:v>
                  </c:pt>
                  <c:pt idx="14">
                    <c:v>HR015</c:v>
                  </c:pt>
                  <c:pt idx="15">
                    <c:v>HR016</c:v>
                  </c:pt>
                  <c:pt idx="16">
                    <c:v>HR017</c:v>
                  </c:pt>
                  <c:pt idx="17">
                    <c:v>HR018</c:v>
                  </c:pt>
                  <c:pt idx="18">
                    <c:v>HR019</c:v>
                  </c:pt>
                  <c:pt idx="19">
                    <c:v>HR020</c:v>
                  </c:pt>
                </c:lvl>
              </c:multiLvlStrCache>
            </c:multiLvlStrRef>
          </c:cat>
          <c:val>
            <c:numRef>
              <c:f>HR!$E$28:$E$88</c:f>
              <c:numCache>
                <c:formatCode>General</c:formatCode>
                <c:ptCount val="20"/>
                <c:pt idx="0">
                  <c:v>2</c:v>
                </c:pt>
                <c:pt idx="1">
                  <c:v>5</c:v>
                </c:pt>
                <c:pt idx="2">
                  <c:v>4</c:v>
                </c:pt>
                <c:pt idx="3">
                  <c:v>6</c:v>
                </c:pt>
                <c:pt idx="4">
                  <c:v>3</c:v>
                </c:pt>
                <c:pt idx="5">
                  <c:v>2</c:v>
                </c:pt>
                <c:pt idx="6">
                  <c:v>7</c:v>
                </c:pt>
                <c:pt idx="7">
                  <c:v>9</c:v>
                </c:pt>
                <c:pt idx="8">
                  <c:v>4</c:v>
                </c:pt>
                <c:pt idx="9">
                  <c:v>3</c:v>
                </c:pt>
                <c:pt idx="10">
                  <c:v>8</c:v>
                </c:pt>
                <c:pt idx="11">
                  <c:v>2</c:v>
                </c:pt>
                <c:pt idx="12">
                  <c:v>6</c:v>
                </c:pt>
                <c:pt idx="13">
                  <c:v>4</c:v>
                </c:pt>
                <c:pt idx="14">
                  <c:v>2</c:v>
                </c:pt>
                <c:pt idx="15">
                  <c:v>10</c:v>
                </c:pt>
                <c:pt idx="16">
                  <c:v>5</c:v>
                </c:pt>
                <c:pt idx="17">
                  <c:v>1</c:v>
                </c:pt>
                <c:pt idx="18">
                  <c:v>3</c:v>
                </c:pt>
                <c:pt idx="1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D0-44F9-8588-FD8D31541F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4569991"/>
        <c:axId val="414572039"/>
      </c:barChart>
      <c:catAx>
        <c:axId val="414569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572039"/>
        <c:crosses val="autoZero"/>
        <c:auto val="1"/>
        <c:lblAlgn val="ctr"/>
        <c:lblOffset val="100"/>
        <c:noMultiLvlLbl val="0"/>
      </c:catAx>
      <c:valAx>
        <c:axId val="414572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569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66675</xdr:colOff>
      <xdr:row>1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C6FE8E2-7A6D-C626-C401-100004A8851C}"/>
            </a:ext>
          </a:extLst>
        </xdr:cNvPr>
        <xdr:cNvSpPr txBox="1"/>
      </xdr:nvSpPr>
      <xdr:spPr>
        <a:xfrm>
          <a:off x="0" y="0"/>
          <a:ext cx="5953125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800" b="1" u="none" strike="noStrike">
              <a:solidFill>
                <a:srgbClr val="000000"/>
              </a:solidFill>
              <a:latin typeface="Aptos Display" panose="020B0004020202020204" pitchFamily="34" charset="0"/>
            </a:rPr>
            <a:t>HR EMPLOYEE DATASET</a:t>
          </a:r>
        </a:p>
      </xdr:txBody>
    </xdr:sp>
    <xdr:clientData/>
  </xdr:twoCellAnchor>
  <xdr:twoCellAnchor>
    <xdr:from>
      <xdr:col>7</xdr:col>
      <xdr:colOff>0</xdr:colOff>
      <xdr:row>0</xdr:row>
      <xdr:rowOff>0</xdr:rowOff>
    </xdr:from>
    <xdr:to>
      <xdr:col>12</xdr:col>
      <xdr:colOff>38100</xdr:colOff>
      <xdr:row>1</xdr:row>
      <xdr:rowOff>152400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2629DE1-C62A-4F70-A3EE-0B6445480C53}"/>
            </a:ext>
            <a:ext uri="{147F2762-F138-4A5C-976F-8EAC2B608ADB}">
              <a16:predDERef xmlns:a16="http://schemas.microsoft.com/office/drawing/2014/main" pred="{0C6FE8E2-7A6D-C626-C401-100004A8851C}"/>
            </a:ext>
          </a:extLst>
        </xdr:cNvPr>
        <xdr:cNvSpPr txBox="1"/>
      </xdr:nvSpPr>
      <xdr:spPr>
        <a:xfrm>
          <a:off x="7105650" y="0"/>
          <a:ext cx="8001000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1" u="none" strike="noStrike">
              <a:solidFill>
                <a:srgbClr val="000000"/>
              </a:solidFill>
              <a:latin typeface="Aptos Display" panose="020B0004020202020204" pitchFamily="34" charset="0"/>
            </a:rPr>
            <a:t>EXCLE FUNCTIONS</a:t>
          </a:r>
        </a:p>
      </xdr:txBody>
    </xdr:sp>
    <xdr:clientData/>
  </xdr:twoCellAnchor>
  <xdr:twoCellAnchor>
    <xdr:from>
      <xdr:col>6</xdr:col>
      <xdr:colOff>571500</xdr:colOff>
      <xdr:row>28</xdr:row>
      <xdr:rowOff>19050</xdr:rowOff>
    </xdr:from>
    <xdr:to>
      <xdr:col>10</xdr:col>
      <xdr:colOff>1809750</xdr:colOff>
      <xdr:row>90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BD8763-FEAD-3B9A-0ED6-99AEEB7A94D3}"/>
            </a:ext>
            <a:ext uri="{147F2762-F138-4A5C-976F-8EAC2B608ADB}">
              <a16:predDERef xmlns:a16="http://schemas.microsoft.com/office/drawing/2014/main" pred="{C2629DE1-C62A-4F70-A3EE-0B6445480C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6.96618935185" createdVersion="8" refreshedVersion="8" minRefreshableVersion="3" recordCount="20" xr:uid="{C4DFC22F-04F5-4A5B-8D57-76F56E9BB56F}">
  <cacheSource type="worksheet">
    <worksheetSource name="Table4"/>
  </cacheSource>
  <cacheFields count="5">
    <cacheField name="Employee ID" numFmtId="0">
      <sharedItems count="20">
        <s v="HR001"/>
        <s v="HR002"/>
        <s v="HR003"/>
        <s v="HR004"/>
        <s v="HR005"/>
        <s v="HR006"/>
        <s v="HR007"/>
        <s v="HR008"/>
        <s v="HR009"/>
        <s v="HR010"/>
        <s v="HR011"/>
        <s v="HR012"/>
        <s v="HR013"/>
        <s v="HR014"/>
        <s v="HR015"/>
        <s v="HR016"/>
        <s v="HR017"/>
        <s v="HR018"/>
        <s v="HR019"/>
        <s v="HR020"/>
      </sharedItems>
    </cacheField>
    <cacheField name="Department" numFmtId="0">
      <sharedItems count="5">
        <s v="HR"/>
        <s v="Finance"/>
        <s v="Marketing"/>
        <s v="IT"/>
        <s v="Sales"/>
      </sharedItems>
    </cacheField>
    <cacheField name="Salary" numFmtId="0">
      <sharedItems containsSemiMixedTypes="0" containsString="0" containsNumber="1" containsInteger="1" minValue="35000" maxValue="75000"/>
    </cacheField>
    <cacheField name="Experience" numFmtId="0">
      <sharedItems containsSemiMixedTypes="0" containsString="0" containsNumber="1" containsInteger="1" minValue="1" maxValue="10"/>
    </cacheField>
    <cacheField name="Attritio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  <n v="35000"/>
    <n v="2"/>
    <x v="0"/>
  </r>
  <r>
    <x v="1"/>
    <x v="1"/>
    <n v="52000"/>
    <n v="5"/>
    <x v="0"/>
  </r>
  <r>
    <x v="2"/>
    <x v="2"/>
    <n v="48000"/>
    <n v="4"/>
    <x v="1"/>
  </r>
  <r>
    <x v="3"/>
    <x v="3"/>
    <n v="60000"/>
    <n v="6"/>
    <x v="0"/>
  </r>
  <r>
    <x v="4"/>
    <x v="4"/>
    <n v="45000"/>
    <n v="3"/>
    <x v="1"/>
  </r>
  <r>
    <x v="5"/>
    <x v="0"/>
    <n v="37000"/>
    <n v="2"/>
    <x v="0"/>
  </r>
  <r>
    <x v="6"/>
    <x v="1"/>
    <n v="55000"/>
    <n v="7"/>
    <x v="0"/>
  </r>
  <r>
    <x v="7"/>
    <x v="3"/>
    <n v="72000"/>
    <n v="9"/>
    <x v="0"/>
  </r>
  <r>
    <x v="8"/>
    <x v="2"/>
    <n v="50000"/>
    <n v="4"/>
    <x v="1"/>
  </r>
  <r>
    <x v="9"/>
    <x v="4"/>
    <n v="43000"/>
    <n v="3"/>
    <x v="0"/>
  </r>
  <r>
    <x v="10"/>
    <x v="3"/>
    <n v="68000"/>
    <n v="8"/>
    <x v="0"/>
  </r>
  <r>
    <x v="11"/>
    <x v="0"/>
    <n v="39000"/>
    <n v="2"/>
    <x v="1"/>
  </r>
  <r>
    <x v="12"/>
    <x v="1"/>
    <n v="58000"/>
    <n v="6"/>
    <x v="0"/>
  </r>
  <r>
    <x v="13"/>
    <x v="2"/>
    <n v="47000"/>
    <n v="4"/>
    <x v="0"/>
  </r>
  <r>
    <x v="14"/>
    <x v="4"/>
    <n v="41000"/>
    <n v="2"/>
    <x v="1"/>
  </r>
  <r>
    <x v="15"/>
    <x v="3"/>
    <n v="75000"/>
    <n v="10"/>
    <x v="0"/>
  </r>
  <r>
    <x v="16"/>
    <x v="1"/>
    <n v="53000"/>
    <n v="5"/>
    <x v="0"/>
  </r>
  <r>
    <x v="17"/>
    <x v="0"/>
    <n v="36000"/>
    <n v="1"/>
    <x v="1"/>
  </r>
  <r>
    <x v="18"/>
    <x v="2"/>
    <n v="49000"/>
    <n v="3"/>
    <x v="0"/>
  </r>
  <r>
    <x v="19"/>
    <x v="4"/>
    <n v="44000"/>
    <n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A8608E-7CF1-4659-8EEC-ED82C78A1584}" name="PivotTable1" cacheId="27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7:E88" firstHeaderRow="0" firstDataRow="1" firstDataCol="3"/>
  <pivotFields count="5">
    <pivotField axis="axisRow" compact="0" outline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Row" compact="0" outline="0" showAll="0">
      <items count="6">
        <item x="1"/>
        <item x="0"/>
        <item x="3"/>
        <item x="2"/>
        <item x="4"/>
        <item t="default"/>
      </items>
    </pivotField>
    <pivotField dataField="1" compact="0" outline="0" showAll="0"/>
    <pivotField dataField="1" compact="0" outline="0" showAll="0"/>
    <pivotField axis="axisRow" compact="0" outline="0" showAll="0">
      <items count="3">
        <item x="0"/>
        <item x="1"/>
        <item t="default"/>
      </items>
    </pivotField>
  </pivotFields>
  <rowFields count="3">
    <field x="0"/>
    <field x="1"/>
    <field x="4"/>
  </rowFields>
  <rowItems count="61">
    <i>
      <x/>
      <x v="1"/>
      <x/>
    </i>
    <i t="default" r="1">
      <x v="1"/>
    </i>
    <i t="default">
      <x/>
    </i>
    <i>
      <x v="1"/>
      <x/>
      <x/>
    </i>
    <i t="default" r="1">
      <x/>
    </i>
    <i t="default">
      <x v="1"/>
    </i>
    <i>
      <x v="2"/>
      <x v="3"/>
      <x v="1"/>
    </i>
    <i t="default" r="1">
      <x v="3"/>
    </i>
    <i t="default">
      <x v="2"/>
    </i>
    <i>
      <x v="3"/>
      <x v="2"/>
      <x/>
    </i>
    <i t="default" r="1">
      <x v="2"/>
    </i>
    <i t="default">
      <x v="3"/>
    </i>
    <i>
      <x v="4"/>
      <x v="4"/>
      <x v="1"/>
    </i>
    <i t="default" r="1">
      <x v="4"/>
    </i>
    <i t="default">
      <x v="4"/>
    </i>
    <i>
      <x v="5"/>
      <x v="1"/>
      <x/>
    </i>
    <i t="default" r="1">
      <x v="1"/>
    </i>
    <i t="default">
      <x v="5"/>
    </i>
    <i>
      <x v="6"/>
      <x/>
      <x/>
    </i>
    <i t="default" r="1">
      <x/>
    </i>
    <i t="default">
      <x v="6"/>
    </i>
    <i>
      <x v="7"/>
      <x v="2"/>
      <x/>
    </i>
    <i t="default" r="1">
      <x v="2"/>
    </i>
    <i t="default">
      <x v="7"/>
    </i>
    <i>
      <x v="8"/>
      <x v="3"/>
      <x v="1"/>
    </i>
    <i t="default" r="1">
      <x v="3"/>
    </i>
    <i t="default">
      <x v="8"/>
    </i>
    <i>
      <x v="9"/>
      <x v="4"/>
      <x/>
    </i>
    <i t="default" r="1">
      <x v="4"/>
    </i>
    <i t="default">
      <x v="9"/>
    </i>
    <i>
      <x v="10"/>
      <x v="2"/>
      <x/>
    </i>
    <i t="default" r="1">
      <x v="2"/>
    </i>
    <i t="default">
      <x v="10"/>
    </i>
    <i>
      <x v="11"/>
      <x v="1"/>
      <x v="1"/>
    </i>
    <i t="default" r="1">
      <x v="1"/>
    </i>
    <i t="default">
      <x v="11"/>
    </i>
    <i>
      <x v="12"/>
      <x/>
      <x/>
    </i>
    <i t="default" r="1">
      <x/>
    </i>
    <i t="default">
      <x v="12"/>
    </i>
    <i>
      <x v="13"/>
      <x v="3"/>
      <x/>
    </i>
    <i t="default" r="1">
      <x v="3"/>
    </i>
    <i t="default">
      <x v="13"/>
    </i>
    <i>
      <x v="14"/>
      <x v="4"/>
      <x v="1"/>
    </i>
    <i t="default" r="1">
      <x v="4"/>
    </i>
    <i t="default">
      <x v="14"/>
    </i>
    <i>
      <x v="15"/>
      <x v="2"/>
      <x/>
    </i>
    <i t="default" r="1">
      <x v="2"/>
    </i>
    <i t="default">
      <x v="15"/>
    </i>
    <i>
      <x v="16"/>
      <x/>
      <x/>
    </i>
    <i t="default" r="1">
      <x/>
    </i>
    <i t="default">
      <x v="16"/>
    </i>
    <i>
      <x v="17"/>
      <x v="1"/>
      <x v="1"/>
    </i>
    <i t="default" r="1">
      <x v="1"/>
    </i>
    <i t="default">
      <x v="17"/>
    </i>
    <i>
      <x v="18"/>
      <x v="3"/>
      <x/>
    </i>
    <i t="default" r="1">
      <x v="3"/>
    </i>
    <i t="default">
      <x v="18"/>
    </i>
    <i>
      <x v="19"/>
      <x v="4"/>
      <x/>
    </i>
    <i t="default" r="1">
      <x v="4"/>
    </i>
    <i t="default"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ary" fld="2" baseField="0" baseItem="0"/>
    <dataField name="Sum of Experience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F73575-51E3-4041-8626-7D9C56D79EAC}" name="Table1" displayName="Table1" ref="A1:A2" insertRow="1" totalsRowShown="0" dataDxfId="10">
  <autoFilter ref="A1:A2" xr:uid="{3FF73575-51E3-4041-8626-7D9C56D79EAC}"/>
  <tableColumns count="1">
    <tableColumn id="1" xr3:uid="{31226A6A-ED9E-4E50-82CE-EE1C3EB5863C}" name="Column1" dataDxfId="9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769BAB-0744-4B38-AA89-3F859A3D62FF}" name="Table4" displayName="Table4" ref="A3:E23" totalsRowShown="0" headerRowDxfId="8" dataDxfId="7" headerRowBorderDxfId="5" tableBorderDxfId="6">
  <autoFilter ref="A3:E23" xr:uid="{FB769BAB-0744-4B38-AA89-3F859A3D62FF}"/>
  <tableColumns count="5">
    <tableColumn id="1" xr3:uid="{B65FEC32-67DE-4F5B-BD47-9C3686175F9B}" name="Employee ID" dataDxfId="4"/>
    <tableColumn id="2" xr3:uid="{060A0051-8C3C-4E35-83A7-88FC9F8F1225}" name="Department" dataDxfId="3"/>
    <tableColumn id="3" xr3:uid="{14EBC627-6D28-408A-A8C9-590390964F6C}" name="Salary" dataDxfId="2"/>
    <tableColumn id="4" xr3:uid="{D2689E6E-E42C-4911-A589-11B5B910A9DE}" name="Experience" dataDxfId="1"/>
    <tableColumn id="5" xr3:uid="{D0FE13EF-9A45-4DF8-9F97-7BB375F9E64C}" name="Attrition" dataDxfId="0"/>
  </tableColumns>
  <tableStyleInfo name="TableStyleDark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8"/>
  <sheetViews>
    <sheetView tabSelected="1" workbookViewId="0">
      <selection activeCell="H27" sqref="H27"/>
    </sheetView>
  </sheetViews>
  <sheetFormatPr defaultRowHeight="15"/>
  <cols>
    <col min="1" max="1" width="23.42578125" customWidth="1"/>
    <col min="2" max="2" width="19.5703125" customWidth="1"/>
    <col min="3" max="3" width="18.28515625" customWidth="1"/>
    <col min="4" max="4" width="20.140625" customWidth="1"/>
    <col min="5" max="5" width="17.28515625" customWidth="1"/>
    <col min="8" max="8" width="28.42578125" customWidth="1"/>
    <col min="9" max="9" width="18.28515625" customWidth="1"/>
    <col min="11" max="11" width="33" customWidth="1"/>
    <col min="12" max="12" width="30.5703125" customWidth="1"/>
  </cols>
  <sheetData>
    <row r="1" spans="1:12">
      <c r="A1" t="s">
        <v>0</v>
      </c>
    </row>
    <row r="2" spans="1:12">
      <c r="A2" s="5"/>
      <c r="B2" s="5"/>
      <c r="C2" s="5"/>
      <c r="D2" s="5"/>
      <c r="E2" s="5"/>
    </row>
    <row r="3" spans="1:12" ht="18.75">
      <c r="A3" s="6" t="s">
        <v>1</v>
      </c>
      <c r="B3" s="7" t="s">
        <v>2</v>
      </c>
      <c r="C3" s="7" t="s">
        <v>3</v>
      </c>
      <c r="D3" s="7" t="s">
        <v>4</v>
      </c>
      <c r="E3" s="8" t="s">
        <v>5</v>
      </c>
      <c r="H3" s="3" t="s">
        <v>6</v>
      </c>
      <c r="I3" s="4"/>
      <c r="K3" s="3" t="s">
        <v>7</v>
      </c>
      <c r="L3" s="4"/>
    </row>
    <row r="4" spans="1:12">
      <c r="A4" s="9" t="s">
        <v>8</v>
      </c>
      <c r="B4" s="10" t="s">
        <v>9</v>
      </c>
      <c r="C4" s="10">
        <v>35000</v>
      </c>
      <c r="D4" s="10">
        <v>2</v>
      </c>
      <c r="E4" s="11" t="s">
        <v>10</v>
      </c>
      <c r="H4" s="18" t="s">
        <v>11</v>
      </c>
      <c r="I4" s="19">
        <f>SUM(D4:D23)</f>
        <v>90</v>
      </c>
      <c r="K4" s="18" t="s">
        <v>12</v>
      </c>
      <c r="L4" s="24">
        <f ca="1">TODAY()</f>
        <v>46076</v>
      </c>
    </row>
    <row r="5" spans="1:12">
      <c r="A5" s="12" t="s">
        <v>13</v>
      </c>
      <c r="B5" s="13" t="s">
        <v>14</v>
      </c>
      <c r="C5" s="13">
        <v>52000</v>
      </c>
      <c r="D5" s="13">
        <v>5</v>
      </c>
      <c r="E5" s="14" t="s">
        <v>10</v>
      </c>
      <c r="H5" s="20" t="s">
        <v>15</v>
      </c>
      <c r="I5" s="21">
        <f>MIN(D4:D23)</f>
        <v>1</v>
      </c>
      <c r="K5" s="20" t="s">
        <v>16</v>
      </c>
      <c r="L5" s="25">
        <f ca="1">NOW()</f>
        <v>46076.970218402777</v>
      </c>
    </row>
    <row r="6" spans="1:12">
      <c r="A6" s="12" t="s">
        <v>17</v>
      </c>
      <c r="B6" s="13" t="s">
        <v>18</v>
      </c>
      <c r="C6" s="13">
        <v>48000</v>
      </c>
      <c r="D6" s="13">
        <v>4</v>
      </c>
      <c r="E6" s="14" t="s">
        <v>19</v>
      </c>
      <c r="H6" s="20" t="s">
        <v>20</v>
      </c>
      <c r="I6" s="21">
        <f>MAX(C4:C23)</f>
        <v>75000</v>
      </c>
      <c r="K6" s="20" t="s">
        <v>21</v>
      </c>
      <c r="L6" s="21"/>
    </row>
    <row r="7" spans="1:12">
      <c r="A7" s="12" t="s">
        <v>22</v>
      </c>
      <c r="B7" s="13" t="s">
        <v>23</v>
      </c>
      <c r="C7" s="13">
        <v>60000</v>
      </c>
      <c r="D7" s="13">
        <v>6</v>
      </c>
      <c r="E7" s="14" t="s">
        <v>10</v>
      </c>
      <c r="H7" s="20" t="s">
        <v>24</v>
      </c>
      <c r="I7" s="21">
        <f>COUNT(D4:D23)</f>
        <v>20</v>
      </c>
      <c r="K7" s="20"/>
      <c r="L7" s="21"/>
    </row>
    <row r="8" spans="1:12">
      <c r="A8" s="12" t="s">
        <v>25</v>
      </c>
      <c r="B8" s="13" t="s">
        <v>26</v>
      </c>
      <c r="C8" s="13">
        <v>45000</v>
      </c>
      <c r="D8" s="13">
        <v>3</v>
      </c>
      <c r="E8" s="14" t="s">
        <v>19</v>
      </c>
      <c r="H8" s="20" t="s">
        <v>27</v>
      </c>
      <c r="I8" s="21">
        <f>SUM(C4:C23)</f>
        <v>1007000</v>
      </c>
    </row>
    <row r="9" spans="1:12" ht="18.75">
      <c r="A9" s="12" t="s">
        <v>28</v>
      </c>
      <c r="B9" s="13" t="s">
        <v>9</v>
      </c>
      <c r="C9" s="13">
        <v>37000</v>
      </c>
      <c r="D9" s="13">
        <v>2</v>
      </c>
      <c r="E9" s="14" t="s">
        <v>10</v>
      </c>
      <c r="H9" s="22" t="s">
        <v>29</v>
      </c>
      <c r="I9" s="23">
        <f>AVERAGE(D4:D23)</f>
        <v>4.5</v>
      </c>
      <c r="K9" s="3" t="s">
        <v>30</v>
      </c>
      <c r="L9" s="4"/>
    </row>
    <row r="10" spans="1:12" ht="19.5">
      <c r="A10" s="12" t="s">
        <v>31</v>
      </c>
      <c r="B10" s="13" t="s">
        <v>14</v>
      </c>
      <c r="C10" s="13">
        <v>55000</v>
      </c>
      <c r="D10" s="13">
        <v>7</v>
      </c>
      <c r="E10" s="14" t="s">
        <v>10</v>
      </c>
      <c r="H10" s="1"/>
      <c r="K10" s="18" t="s">
        <v>32</v>
      </c>
      <c r="L10" s="26">
        <f>PMT(10%,5,-AVERAGE(C4:C23))</f>
        <v>13282.203158015433</v>
      </c>
    </row>
    <row r="11" spans="1:12" ht="18.75">
      <c r="A11" s="12" t="s">
        <v>33</v>
      </c>
      <c r="B11" s="13" t="s">
        <v>23</v>
      </c>
      <c r="C11" s="13">
        <v>72000</v>
      </c>
      <c r="D11" s="13">
        <v>9</v>
      </c>
      <c r="E11" s="14" t="s">
        <v>10</v>
      </c>
      <c r="H11" s="3" t="s">
        <v>34</v>
      </c>
      <c r="I11" s="4"/>
      <c r="K11" s="20" t="s">
        <v>35</v>
      </c>
      <c r="L11" s="27">
        <f>NPV(10%,C5:C23)-SUM(D5:D23)</f>
        <v>430593.93726936087</v>
      </c>
    </row>
    <row r="12" spans="1:12">
      <c r="A12" s="12" t="s">
        <v>36</v>
      </c>
      <c r="B12" s="13" t="s">
        <v>18</v>
      </c>
      <c r="C12" s="13">
        <v>50000</v>
      </c>
      <c r="D12" s="13">
        <v>4</v>
      </c>
      <c r="E12" s="14" t="s">
        <v>19</v>
      </c>
      <c r="H12" s="18" t="s">
        <v>37</v>
      </c>
      <c r="I12" s="19" t="str">
        <f>IF(D4&gt; 25000,"Maximum","Minimum" )</f>
        <v>Minimum</v>
      </c>
      <c r="K12" s="2"/>
    </row>
    <row r="13" spans="1:12" ht="18.75">
      <c r="A13" s="12" t="s">
        <v>38</v>
      </c>
      <c r="B13" s="13" t="s">
        <v>26</v>
      </c>
      <c r="C13" s="13">
        <v>43000</v>
      </c>
      <c r="D13" s="13">
        <v>3</v>
      </c>
      <c r="E13" s="14" t="s">
        <v>10</v>
      </c>
      <c r="H13" s="20" t="s">
        <v>39</v>
      </c>
      <c r="I13" s="21" t="b">
        <f>AND(C4&gt;20000,C6&lt;20000)</f>
        <v>0</v>
      </c>
      <c r="K13" s="3" t="s">
        <v>40</v>
      </c>
      <c r="L13" s="4"/>
    </row>
    <row r="14" spans="1:12">
      <c r="A14" s="12" t="s">
        <v>41</v>
      </c>
      <c r="B14" s="13" t="s">
        <v>23</v>
      </c>
      <c r="C14" s="13">
        <v>68000</v>
      </c>
      <c r="D14" s="13">
        <v>8</v>
      </c>
      <c r="E14" s="14" t="s">
        <v>10</v>
      </c>
      <c r="H14" s="20" t="s">
        <v>42</v>
      </c>
      <c r="I14" s="21" t="b">
        <f>OR( D4&gt;20000,D6&lt;20000)</f>
        <v>1</v>
      </c>
      <c r="K14" s="18" t="s">
        <v>43</v>
      </c>
      <c r="L14" s="19">
        <f>AVERAGE(C4:C23)</f>
        <v>50350</v>
      </c>
    </row>
    <row r="15" spans="1:12">
      <c r="A15" s="12" t="s">
        <v>44</v>
      </c>
      <c r="B15" s="13" t="s">
        <v>9</v>
      </c>
      <c r="C15" s="13">
        <v>39000</v>
      </c>
      <c r="D15" s="13">
        <v>2</v>
      </c>
      <c r="E15" s="14" t="s">
        <v>19</v>
      </c>
      <c r="H15" s="2"/>
      <c r="K15" s="20" t="s">
        <v>45</v>
      </c>
      <c r="L15" s="21">
        <f>MODE(D4:D23)</f>
        <v>2</v>
      </c>
    </row>
    <row r="16" spans="1:12">
      <c r="A16" s="12" t="s">
        <v>46</v>
      </c>
      <c r="B16" s="13" t="s">
        <v>14</v>
      </c>
      <c r="C16" s="13">
        <v>58000</v>
      </c>
      <c r="D16" s="13">
        <v>6</v>
      </c>
      <c r="E16" s="14" t="s">
        <v>10</v>
      </c>
      <c r="H16" s="2"/>
      <c r="K16" s="20" t="s">
        <v>47</v>
      </c>
      <c r="L16" s="21">
        <f>MEDIAN(D3:D23)</f>
        <v>4</v>
      </c>
    </row>
    <row r="17" spans="1:12" ht="18.75">
      <c r="A17" s="12" t="s">
        <v>48</v>
      </c>
      <c r="B17" s="13" t="s">
        <v>18</v>
      </c>
      <c r="C17" s="13">
        <v>47000</v>
      </c>
      <c r="D17" s="13">
        <v>4</v>
      </c>
      <c r="E17" s="14" t="s">
        <v>10</v>
      </c>
      <c r="H17" s="3" t="s">
        <v>49</v>
      </c>
      <c r="I17" s="4"/>
      <c r="K17" s="20" t="s">
        <v>50</v>
      </c>
      <c r="L17" s="21">
        <f>_xlfn.STDEV.S(C4:C23)</f>
        <v>11581.63246379006</v>
      </c>
    </row>
    <row r="18" spans="1:12">
      <c r="A18" s="12" t="s">
        <v>51</v>
      </c>
      <c r="B18" s="13" t="s">
        <v>26</v>
      </c>
      <c r="C18" s="13">
        <v>41000</v>
      </c>
      <c r="D18" s="13">
        <v>2</v>
      </c>
      <c r="E18" s="14" t="s">
        <v>19</v>
      </c>
      <c r="H18" s="18" t="s">
        <v>52</v>
      </c>
      <c r="I18" s="19" t="str">
        <f>LEFT(C8,3)</f>
        <v>450</v>
      </c>
      <c r="K18" s="20" t="s">
        <v>53</v>
      </c>
      <c r="L18" s="21">
        <f>CORREL(C4:C23,D4:D23)</f>
        <v>0.97238760721671835</v>
      </c>
    </row>
    <row r="19" spans="1:12">
      <c r="A19" s="12" t="s">
        <v>54</v>
      </c>
      <c r="B19" s="13" t="s">
        <v>23</v>
      </c>
      <c r="C19" s="13">
        <v>75000</v>
      </c>
      <c r="D19" s="13">
        <v>10</v>
      </c>
      <c r="E19" s="14" t="s">
        <v>10</v>
      </c>
      <c r="H19" s="20" t="s">
        <v>55</v>
      </c>
      <c r="I19" s="21" t="str">
        <f>RIGHT(C11,4)</f>
        <v>2000</v>
      </c>
      <c r="K19" s="22"/>
      <c r="L19" s="23"/>
    </row>
    <row r="20" spans="1:12">
      <c r="A20" s="12" t="s">
        <v>56</v>
      </c>
      <c r="B20" s="13" t="s">
        <v>14</v>
      </c>
      <c r="C20" s="13">
        <v>53000</v>
      </c>
      <c r="D20" s="13">
        <v>5</v>
      </c>
      <c r="E20" s="14" t="s">
        <v>10</v>
      </c>
      <c r="H20" s="20" t="s">
        <v>57</v>
      </c>
      <c r="I20" s="21" t="str">
        <f>MID(B9,2,3)</f>
        <v>R</v>
      </c>
    </row>
    <row r="21" spans="1:12" ht="18.75">
      <c r="A21" s="12" t="s">
        <v>58</v>
      </c>
      <c r="B21" s="13" t="s">
        <v>9</v>
      </c>
      <c r="C21" s="13">
        <v>36000</v>
      </c>
      <c r="D21" s="13">
        <v>1</v>
      </c>
      <c r="E21" s="14" t="s">
        <v>19</v>
      </c>
      <c r="H21" s="20" t="s">
        <v>59</v>
      </c>
      <c r="I21" s="21" t="str">
        <f>_xlfn.CONCAT(B18,"_",C18)</f>
        <v>Sales_41000</v>
      </c>
      <c r="K21" s="3" t="s">
        <v>60</v>
      </c>
      <c r="L21" s="4"/>
    </row>
    <row r="22" spans="1:12">
      <c r="A22" s="12" t="s">
        <v>61</v>
      </c>
      <c r="B22" s="13" t="s">
        <v>18</v>
      </c>
      <c r="C22" s="13">
        <v>49000</v>
      </c>
      <c r="D22" s="13">
        <v>3</v>
      </c>
      <c r="E22" s="14" t="s">
        <v>10</v>
      </c>
      <c r="K22" s="18" t="s">
        <v>62</v>
      </c>
      <c r="L22" s="19">
        <f>VLOOKUP(A4, A3:E20,3, FALSE)</f>
        <v>35000</v>
      </c>
    </row>
    <row r="23" spans="1:12">
      <c r="A23" s="15" t="s">
        <v>63</v>
      </c>
      <c r="B23" s="16" t="s">
        <v>26</v>
      </c>
      <c r="C23" s="16">
        <v>44000</v>
      </c>
      <c r="D23" s="16">
        <v>4</v>
      </c>
      <c r="E23" s="17" t="s">
        <v>10</v>
      </c>
      <c r="K23" s="20" t="s">
        <v>64</v>
      </c>
      <c r="L23" s="28" t="str">
        <f>HLOOKUP(B3,A3:E20,4,FALSE)</f>
        <v>Marketing</v>
      </c>
    </row>
    <row r="24" spans="1:12">
      <c r="K24" s="20" t="s">
        <v>65</v>
      </c>
      <c r="L24" s="21"/>
    </row>
    <row r="26" spans="1:12">
      <c r="A26" t="s">
        <v>66</v>
      </c>
    </row>
    <row r="27" spans="1:12">
      <c r="A27" s="29" t="s">
        <v>1</v>
      </c>
      <c r="B27" s="29" t="s">
        <v>2</v>
      </c>
      <c r="C27" s="29" t="s">
        <v>5</v>
      </c>
      <c r="D27" t="s">
        <v>67</v>
      </c>
      <c r="E27" t="s">
        <v>68</v>
      </c>
      <c r="H27" t="s">
        <v>69</v>
      </c>
    </row>
    <row r="28" spans="1:12">
      <c r="A28" t="s">
        <v>8</v>
      </c>
      <c r="B28" t="s">
        <v>9</v>
      </c>
      <c r="C28" t="s">
        <v>10</v>
      </c>
      <c r="D28" s="30">
        <v>35000</v>
      </c>
      <c r="E28" s="30">
        <v>2</v>
      </c>
    </row>
    <row r="29" spans="1:12">
      <c r="B29" t="s">
        <v>70</v>
      </c>
      <c r="D29" s="30">
        <v>35000</v>
      </c>
      <c r="E29" s="30">
        <v>2</v>
      </c>
    </row>
    <row r="30" spans="1:12">
      <c r="A30" t="s">
        <v>71</v>
      </c>
      <c r="D30" s="30">
        <v>35000</v>
      </c>
      <c r="E30" s="30">
        <v>2</v>
      </c>
    </row>
    <row r="31" spans="1:12">
      <c r="A31" t="s">
        <v>13</v>
      </c>
      <c r="B31" t="s">
        <v>14</v>
      </c>
      <c r="C31" t="s">
        <v>10</v>
      </c>
      <c r="D31" s="30">
        <v>52000</v>
      </c>
      <c r="E31" s="30">
        <v>5</v>
      </c>
    </row>
    <row r="32" spans="1:12">
      <c r="B32" t="s">
        <v>72</v>
      </c>
      <c r="D32" s="30">
        <v>52000</v>
      </c>
      <c r="E32" s="30">
        <v>5</v>
      </c>
    </row>
    <row r="33" spans="1:5">
      <c r="A33" t="s">
        <v>73</v>
      </c>
      <c r="D33" s="30">
        <v>52000</v>
      </c>
      <c r="E33" s="30">
        <v>5</v>
      </c>
    </row>
    <row r="34" spans="1:5">
      <c r="A34" t="s">
        <v>17</v>
      </c>
      <c r="B34" t="s">
        <v>18</v>
      </c>
      <c r="C34" t="s">
        <v>19</v>
      </c>
      <c r="D34" s="30">
        <v>48000</v>
      </c>
      <c r="E34" s="30">
        <v>4</v>
      </c>
    </row>
    <row r="35" spans="1:5">
      <c r="B35" t="s">
        <v>74</v>
      </c>
      <c r="D35" s="30">
        <v>48000</v>
      </c>
      <c r="E35" s="30">
        <v>4</v>
      </c>
    </row>
    <row r="36" spans="1:5">
      <c r="A36" t="s">
        <v>75</v>
      </c>
      <c r="D36" s="30">
        <v>48000</v>
      </c>
      <c r="E36" s="30">
        <v>4</v>
      </c>
    </row>
    <row r="37" spans="1:5">
      <c r="A37" t="s">
        <v>22</v>
      </c>
      <c r="B37" t="s">
        <v>23</v>
      </c>
      <c r="C37" t="s">
        <v>10</v>
      </c>
      <c r="D37" s="30">
        <v>60000</v>
      </c>
      <c r="E37" s="30">
        <v>6</v>
      </c>
    </row>
    <row r="38" spans="1:5">
      <c r="B38" t="s">
        <v>76</v>
      </c>
      <c r="D38" s="30">
        <v>60000</v>
      </c>
      <c r="E38" s="30">
        <v>6</v>
      </c>
    </row>
    <row r="39" spans="1:5">
      <c r="A39" t="s">
        <v>77</v>
      </c>
      <c r="D39" s="30">
        <v>60000</v>
      </c>
      <c r="E39" s="30">
        <v>6</v>
      </c>
    </row>
    <row r="40" spans="1:5">
      <c r="A40" t="s">
        <v>25</v>
      </c>
      <c r="B40" t="s">
        <v>26</v>
      </c>
      <c r="C40" t="s">
        <v>19</v>
      </c>
      <c r="D40" s="30">
        <v>45000</v>
      </c>
      <c r="E40" s="30">
        <v>3</v>
      </c>
    </row>
    <row r="41" spans="1:5">
      <c r="B41" t="s">
        <v>78</v>
      </c>
      <c r="D41" s="30">
        <v>45000</v>
      </c>
      <c r="E41" s="30">
        <v>3</v>
      </c>
    </row>
    <row r="42" spans="1:5">
      <c r="A42" t="s">
        <v>79</v>
      </c>
      <c r="D42" s="30">
        <v>45000</v>
      </c>
      <c r="E42" s="30">
        <v>3</v>
      </c>
    </row>
    <row r="43" spans="1:5">
      <c r="A43" t="s">
        <v>28</v>
      </c>
      <c r="B43" t="s">
        <v>9</v>
      </c>
      <c r="C43" t="s">
        <v>10</v>
      </c>
      <c r="D43" s="30">
        <v>37000</v>
      </c>
      <c r="E43" s="30">
        <v>2</v>
      </c>
    </row>
    <row r="44" spans="1:5">
      <c r="B44" t="s">
        <v>70</v>
      </c>
      <c r="D44" s="30">
        <v>37000</v>
      </c>
      <c r="E44" s="30">
        <v>2</v>
      </c>
    </row>
    <row r="45" spans="1:5">
      <c r="A45" t="s">
        <v>80</v>
      </c>
      <c r="D45" s="30">
        <v>37000</v>
      </c>
      <c r="E45" s="30">
        <v>2</v>
      </c>
    </row>
    <row r="46" spans="1:5">
      <c r="A46" t="s">
        <v>31</v>
      </c>
      <c r="B46" t="s">
        <v>14</v>
      </c>
      <c r="C46" t="s">
        <v>10</v>
      </c>
      <c r="D46" s="30">
        <v>55000</v>
      </c>
      <c r="E46" s="30">
        <v>7</v>
      </c>
    </row>
    <row r="47" spans="1:5">
      <c r="B47" t="s">
        <v>72</v>
      </c>
      <c r="D47" s="30">
        <v>55000</v>
      </c>
      <c r="E47" s="30">
        <v>7</v>
      </c>
    </row>
    <row r="48" spans="1:5">
      <c r="A48" t="s">
        <v>81</v>
      </c>
      <c r="D48" s="30">
        <v>55000</v>
      </c>
      <c r="E48" s="30">
        <v>7</v>
      </c>
    </row>
    <row r="49" spans="1:5">
      <c r="A49" t="s">
        <v>33</v>
      </c>
      <c r="B49" t="s">
        <v>23</v>
      </c>
      <c r="C49" t="s">
        <v>10</v>
      </c>
      <c r="D49" s="30">
        <v>72000</v>
      </c>
      <c r="E49" s="30">
        <v>9</v>
      </c>
    </row>
    <row r="50" spans="1:5">
      <c r="B50" t="s">
        <v>76</v>
      </c>
      <c r="D50" s="30">
        <v>72000</v>
      </c>
      <c r="E50" s="30">
        <v>9</v>
      </c>
    </row>
    <row r="51" spans="1:5">
      <c r="A51" t="s">
        <v>82</v>
      </c>
      <c r="D51" s="30">
        <v>72000</v>
      </c>
      <c r="E51" s="30">
        <v>9</v>
      </c>
    </row>
    <row r="52" spans="1:5">
      <c r="A52" t="s">
        <v>36</v>
      </c>
      <c r="B52" t="s">
        <v>18</v>
      </c>
      <c r="C52" t="s">
        <v>19</v>
      </c>
      <c r="D52" s="30">
        <v>50000</v>
      </c>
      <c r="E52" s="30">
        <v>4</v>
      </c>
    </row>
    <row r="53" spans="1:5">
      <c r="B53" t="s">
        <v>74</v>
      </c>
      <c r="D53" s="30">
        <v>50000</v>
      </c>
      <c r="E53" s="30">
        <v>4</v>
      </c>
    </row>
    <row r="54" spans="1:5">
      <c r="A54" t="s">
        <v>83</v>
      </c>
      <c r="D54" s="30">
        <v>50000</v>
      </c>
      <c r="E54" s="30">
        <v>4</v>
      </c>
    </row>
    <row r="55" spans="1:5">
      <c r="A55" t="s">
        <v>38</v>
      </c>
      <c r="B55" t="s">
        <v>26</v>
      </c>
      <c r="C55" t="s">
        <v>10</v>
      </c>
      <c r="D55" s="30">
        <v>43000</v>
      </c>
      <c r="E55" s="30">
        <v>3</v>
      </c>
    </row>
    <row r="56" spans="1:5">
      <c r="B56" t="s">
        <v>78</v>
      </c>
      <c r="D56" s="30">
        <v>43000</v>
      </c>
      <c r="E56" s="30">
        <v>3</v>
      </c>
    </row>
    <row r="57" spans="1:5">
      <c r="A57" t="s">
        <v>84</v>
      </c>
      <c r="D57" s="30">
        <v>43000</v>
      </c>
      <c r="E57" s="30">
        <v>3</v>
      </c>
    </row>
    <row r="58" spans="1:5">
      <c r="A58" t="s">
        <v>41</v>
      </c>
      <c r="B58" t="s">
        <v>23</v>
      </c>
      <c r="C58" t="s">
        <v>10</v>
      </c>
      <c r="D58" s="30">
        <v>68000</v>
      </c>
      <c r="E58" s="30">
        <v>8</v>
      </c>
    </row>
    <row r="59" spans="1:5">
      <c r="B59" t="s">
        <v>76</v>
      </c>
      <c r="D59" s="30">
        <v>68000</v>
      </c>
      <c r="E59" s="30">
        <v>8</v>
      </c>
    </row>
    <row r="60" spans="1:5">
      <c r="A60" t="s">
        <v>85</v>
      </c>
      <c r="D60" s="30">
        <v>68000</v>
      </c>
      <c r="E60" s="30">
        <v>8</v>
      </c>
    </row>
    <row r="61" spans="1:5">
      <c r="A61" t="s">
        <v>44</v>
      </c>
      <c r="B61" t="s">
        <v>9</v>
      </c>
      <c r="C61" t="s">
        <v>19</v>
      </c>
      <c r="D61" s="30">
        <v>39000</v>
      </c>
      <c r="E61" s="30">
        <v>2</v>
      </c>
    </row>
    <row r="62" spans="1:5">
      <c r="B62" t="s">
        <v>70</v>
      </c>
      <c r="D62" s="30">
        <v>39000</v>
      </c>
      <c r="E62" s="30">
        <v>2</v>
      </c>
    </row>
    <row r="63" spans="1:5">
      <c r="A63" t="s">
        <v>86</v>
      </c>
      <c r="D63" s="30">
        <v>39000</v>
      </c>
      <c r="E63" s="30">
        <v>2</v>
      </c>
    </row>
    <row r="64" spans="1:5">
      <c r="A64" t="s">
        <v>46</v>
      </c>
      <c r="B64" t="s">
        <v>14</v>
      </c>
      <c r="C64" t="s">
        <v>10</v>
      </c>
      <c r="D64" s="30">
        <v>58000</v>
      </c>
      <c r="E64" s="30">
        <v>6</v>
      </c>
    </row>
    <row r="65" spans="1:5">
      <c r="B65" t="s">
        <v>72</v>
      </c>
      <c r="D65" s="30">
        <v>58000</v>
      </c>
      <c r="E65" s="30">
        <v>6</v>
      </c>
    </row>
    <row r="66" spans="1:5">
      <c r="A66" t="s">
        <v>87</v>
      </c>
      <c r="D66" s="30">
        <v>58000</v>
      </c>
      <c r="E66" s="30">
        <v>6</v>
      </c>
    </row>
    <row r="67" spans="1:5">
      <c r="A67" t="s">
        <v>48</v>
      </c>
      <c r="B67" t="s">
        <v>18</v>
      </c>
      <c r="C67" t="s">
        <v>10</v>
      </c>
      <c r="D67" s="30">
        <v>47000</v>
      </c>
      <c r="E67" s="30">
        <v>4</v>
      </c>
    </row>
    <row r="68" spans="1:5">
      <c r="B68" t="s">
        <v>74</v>
      </c>
      <c r="D68" s="30">
        <v>47000</v>
      </c>
      <c r="E68" s="30">
        <v>4</v>
      </c>
    </row>
    <row r="69" spans="1:5">
      <c r="A69" t="s">
        <v>88</v>
      </c>
      <c r="D69" s="30">
        <v>47000</v>
      </c>
      <c r="E69" s="30">
        <v>4</v>
      </c>
    </row>
    <row r="70" spans="1:5">
      <c r="A70" t="s">
        <v>51</v>
      </c>
      <c r="B70" t="s">
        <v>26</v>
      </c>
      <c r="C70" t="s">
        <v>19</v>
      </c>
      <c r="D70" s="30">
        <v>41000</v>
      </c>
      <c r="E70" s="30">
        <v>2</v>
      </c>
    </row>
    <row r="71" spans="1:5">
      <c r="B71" t="s">
        <v>78</v>
      </c>
      <c r="D71" s="30">
        <v>41000</v>
      </c>
      <c r="E71" s="30">
        <v>2</v>
      </c>
    </row>
    <row r="72" spans="1:5">
      <c r="A72" t="s">
        <v>89</v>
      </c>
      <c r="D72" s="30">
        <v>41000</v>
      </c>
      <c r="E72" s="30">
        <v>2</v>
      </c>
    </row>
    <row r="73" spans="1:5">
      <c r="A73" t="s">
        <v>54</v>
      </c>
      <c r="B73" t="s">
        <v>23</v>
      </c>
      <c r="C73" t="s">
        <v>10</v>
      </c>
      <c r="D73" s="30">
        <v>75000</v>
      </c>
      <c r="E73" s="30">
        <v>10</v>
      </c>
    </row>
    <row r="74" spans="1:5">
      <c r="B74" t="s">
        <v>76</v>
      </c>
      <c r="D74" s="30">
        <v>75000</v>
      </c>
      <c r="E74" s="30">
        <v>10</v>
      </c>
    </row>
    <row r="75" spans="1:5">
      <c r="A75" t="s">
        <v>90</v>
      </c>
      <c r="D75" s="30">
        <v>75000</v>
      </c>
      <c r="E75" s="30">
        <v>10</v>
      </c>
    </row>
    <row r="76" spans="1:5">
      <c r="A76" t="s">
        <v>56</v>
      </c>
      <c r="B76" t="s">
        <v>14</v>
      </c>
      <c r="C76" t="s">
        <v>10</v>
      </c>
      <c r="D76" s="30">
        <v>53000</v>
      </c>
      <c r="E76" s="30">
        <v>5</v>
      </c>
    </row>
    <row r="77" spans="1:5">
      <c r="B77" t="s">
        <v>72</v>
      </c>
      <c r="D77" s="30">
        <v>53000</v>
      </c>
      <c r="E77" s="30">
        <v>5</v>
      </c>
    </row>
    <row r="78" spans="1:5">
      <c r="A78" t="s">
        <v>91</v>
      </c>
      <c r="D78" s="30">
        <v>53000</v>
      </c>
      <c r="E78" s="30">
        <v>5</v>
      </c>
    </row>
    <row r="79" spans="1:5">
      <c r="A79" t="s">
        <v>58</v>
      </c>
      <c r="B79" t="s">
        <v>9</v>
      </c>
      <c r="C79" t="s">
        <v>19</v>
      </c>
      <c r="D79" s="30">
        <v>36000</v>
      </c>
      <c r="E79" s="30">
        <v>1</v>
      </c>
    </row>
    <row r="80" spans="1:5">
      <c r="B80" t="s">
        <v>70</v>
      </c>
      <c r="D80" s="30">
        <v>36000</v>
      </c>
      <c r="E80" s="30">
        <v>1</v>
      </c>
    </row>
    <row r="81" spans="1:5">
      <c r="A81" t="s">
        <v>92</v>
      </c>
      <c r="D81" s="30">
        <v>36000</v>
      </c>
      <c r="E81" s="30">
        <v>1</v>
      </c>
    </row>
    <row r="82" spans="1:5">
      <c r="A82" t="s">
        <v>61</v>
      </c>
      <c r="B82" t="s">
        <v>18</v>
      </c>
      <c r="C82" t="s">
        <v>10</v>
      </c>
      <c r="D82" s="30">
        <v>49000</v>
      </c>
      <c r="E82" s="30">
        <v>3</v>
      </c>
    </row>
    <row r="83" spans="1:5">
      <c r="B83" t="s">
        <v>74</v>
      </c>
      <c r="D83" s="30">
        <v>49000</v>
      </c>
      <c r="E83" s="30">
        <v>3</v>
      </c>
    </row>
    <row r="84" spans="1:5">
      <c r="A84" t="s">
        <v>93</v>
      </c>
      <c r="D84" s="30">
        <v>49000</v>
      </c>
      <c r="E84" s="30">
        <v>3</v>
      </c>
    </row>
    <row r="85" spans="1:5">
      <c r="A85" t="s">
        <v>63</v>
      </c>
      <c r="B85" t="s">
        <v>26</v>
      </c>
      <c r="C85" t="s">
        <v>10</v>
      </c>
      <c r="D85" s="30">
        <v>44000</v>
      </c>
      <c r="E85" s="30">
        <v>4</v>
      </c>
    </row>
    <row r="86" spans="1:5">
      <c r="B86" t="s">
        <v>78</v>
      </c>
      <c r="D86" s="30">
        <v>44000</v>
      </c>
      <c r="E86" s="30">
        <v>4</v>
      </c>
    </row>
    <row r="87" spans="1:5">
      <c r="A87" t="s">
        <v>94</v>
      </c>
      <c r="D87" s="30">
        <v>44000</v>
      </c>
      <c r="E87" s="30">
        <v>4</v>
      </c>
    </row>
    <row r="88" spans="1:5">
      <c r="A88" t="s">
        <v>95</v>
      </c>
      <c r="D88" s="30">
        <v>1007000</v>
      </c>
      <c r="E88" s="30">
        <v>90</v>
      </c>
    </row>
  </sheetData>
  <mergeCells count="7">
    <mergeCell ref="K21:L21"/>
    <mergeCell ref="H3:I3"/>
    <mergeCell ref="K3:L3"/>
    <mergeCell ref="K9:L9"/>
    <mergeCell ref="H11:I11"/>
    <mergeCell ref="K13:L13"/>
    <mergeCell ref="H17:I17"/>
  </mergeCells>
  <pageMargins left="0.7" right="0.7" top="0.75" bottom="0.75" header="0.3" footer="0.3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2026-02-23T17:31:28Z</dcterms:created>
  <dcterms:modified xsi:type="dcterms:W3CDTF">2026-02-23T17:47:56Z</dcterms:modified>
  <cp:category/>
  <cp:contentStatus/>
</cp:coreProperties>
</file>